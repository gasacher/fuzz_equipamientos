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" sheetId="1" r:id="rId4"/>
    <sheet state="visible" name="VENTAS" sheetId="2" r:id="rId5"/>
    <sheet state="visible" name="GASTOS" sheetId="3" r:id="rId6"/>
    <sheet state="visible" name="PUBLICACIONES" sheetId="4" r:id="rId7"/>
  </sheets>
  <definedNames>
    <definedName hidden="1" localSheetId="0" name="_xlnm._FilterDatabase">STOCK!$A$1:$N$369</definedName>
  </definedNames>
  <calcPr/>
  <extLst>
    <ext uri="GoogleSheetsCustomDataVersion2">
      <go:sheetsCustomData xmlns:go="http://customooxmlschemas.google.com/" r:id="rId8" roundtripDataChecksum="BRk726Hq3mC+GootxvtGNW6+A5vunR+bRb1O290YggM="/>
    </ext>
  </extLst>
</workbook>
</file>

<file path=xl/sharedStrings.xml><?xml version="1.0" encoding="utf-8"?>
<sst xmlns="http://schemas.openxmlformats.org/spreadsheetml/2006/main" count="1778" uniqueCount="911">
  <si>
    <t>HISTORIAS</t>
  </si>
  <si>
    <t>Categoria</t>
  </si>
  <si>
    <t>Sub-cate</t>
  </si>
  <si>
    <t>Titulo</t>
  </si>
  <si>
    <t>Valor USD</t>
  </si>
  <si>
    <t>Valor ARG + COM</t>
  </si>
  <si>
    <t>Contacto</t>
  </si>
  <si>
    <t>FB</t>
  </si>
  <si>
    <t>IG</t>
  </si>
  <si>
    <t>ML</t>
  </si>
  <si>
    <t>Marca</t>
  </si>
  <si>
    <t>año</t>
  </si>
  <si>
    <t>Origen</t>
  </si>
  <si>
    <t>Accesorios</t>
  </si>
  <si>
    <t>Estuche Gator Les Paul</t>
  </si>
  <si>
    <t>Panzoni</t>
  </si>
  <si>
    <t>https://www.instagram.com/p/DPoa_y0leTi/?img_index=7</t>
  </si>
  <si>
    <t>Tascam Guitar Trainer</t>
  </si>
  <si>
    <t>Line 6 Relay G70 + TB516G</t>
  </si>
  <si>
    <t>https://www.instagram.com/p/DPj5dDojC/?img_index=5</t>
  </si>
  <si>
    <t>Gator case RADO</t>
  </si>
  <si>
    <t>Rado</t>
  </si>
  <si>
    <t>https://www.instagram.com/p/C6ogQRuuK0P/?img_index=1</t>
  </si>
  <si>
    <t>Amps</t>
  </si>
  <si>
    <t>Cabezal</t>
  </si>
  <si>
    <t>Blackstar HT5</t>
  </si>
  <si>
    <t>https://www.instagram.com/p/DDIWnqhRlAo/?img_index=1</t>
  </si>
  <si>
    <t>EVH 5150 100 watts Triple Channel</t>
  </si>
  <si>
    <t>https://www.instagram.com/p/DG1I7bvxE5M/?img_index=1</t>
  </si>
  <si>
    <t>Caja</t>
  </si>
  <si>
    <t xml:space="preserve">Caja Pirate Bay </t>
  </si>
  <si>
    <t>Leandro</t>
  </si>
  <si>
    <t>https://www.instagram.com/p/DKKfx80xX3w/?img_index=1</t>
  </si>
  <si>
    <t>Caja EVH 5150 III 2x12</t>
  </si>
  <si>
    <t>Ornella/Sergio</t>
  </si>
  <si>
    <t>https://www.instagram.com/p/C4QsoDzu9Nz/?img_index=1</t>
  </si>
  <si>
    <t>Caja EVH 5150 III 4x12</t>
  </si>
  <si>
    <t>https://www.instagram.com/p/C4QsoDzu9Nz/?img_index=5</t>
  </si>
  <si>
    <t>Combo</t>
  </si>
  <si>
    <t>LHC Smoljamp 8</t>
  </si>
  <si>
    <t>Dani Raffo</t>
  </si>
  <si>
    <t>https://www.instagram.com/p/DKALU4ox_rE/?img_index=1</t>
  </si>
  <si>
    <t>DeCastro Cabezal y Caja</t>
  </si>
  <si>
    <t>EFE PRESTIGE</t>
  </si>
  <si>
    <t>https://www.instagram.com/p/DEV6jS2xNPI/?img_index=1</t>
  </si>
  <si>
    <t>*</t>
  </si>
  <si>
    <t>Johnson Millenium JM150</t>
  </si>
  <si>
    <t>Daniel Moragas</t>
  </si>
  <si>
    <t>https://www.instagram.com/p/CorrwuROhct/?img_index=1</t>
  </si>
  <si>
    <t>Salviani Black Soul</t>
  </si>
  <si>
    <t>FRANC REAL</t>
  </si>
  <si>
    <t>https://www.instagram.com/p/DNon3_BTHUq/?img_index=1</t>
  </si>
  <si>
    <t>Laney TT50 - 112</t>
  </si>
  <si>
    <t>https://www.instagram.com/p/C_T6iVRRON-/?img_index=1</t>
  </si>
  <si>
    <t>Vox AC30 Custom C2</t>
  </si>
  <si>
    <t>AMIGO TERY SN</t>
  </si>
  <si>
    <t>https://www.instagram.com/p/DL3RZk3xJp4/?img_index=1</t>
  </si>
  <si>
    <t>Orange Rocker 32</t>
  </si>
  <si>
    <t>https://www.instagram.com/p/DGEYHO1R4jd/?img_index=1</t>
  </si>
  <si>
    <t>Boss Katana Artist Gen 3</t>
  </si>
  <si>
    <t>https://www.instagram.com/p/DM70eDfR_T6/?img_index=1</t>
  </si>
  <si>
    <t>Parlantes</t>
  </si>
  <si>
    <t>Celestion Vintage 30</t>
  </si>
  <si>
    <t>Jensen n12k</t>
  </si>
  <si>
    <t>Orange Micro Dark + Caja Orange PPC108</t>
  </si>
  <si>
    <t>Singletone Cab 2x12</t>
  </si>
  <si>
    <t>S-V</t>
  </si>
  <si>
    <t>https://www.instagram.com/p/DHi9JZnxZX0/?img_index=1</t>
  </si>
  <si>
    <t>Orange Dark Terror</t>
  </si>
  <si>
    <t>Seba Barrionuevo</t>
  </si>
  <si>
    <t>https://www.instagram.com/p/C6ehTS_OKBV/?img_index=1</t>
  </si>
  <si>
    <t>Tiny Terror 15W Version Combo</t>
  </si>
  <si>
    <t>AMIGO DEL CERRO</t>
  </si>
  <si>
    <t>https://www.instagram.com/p/DJcmYUSxCcS/?img_index=1</t>
  </si>
  <si>
    <t>Polytone 101</t>
  </si>
  <si>
    <t>SANTI VERA</t>
  </si>
  <si>
    <t>https://www.instagram.com/p/Cv50MYuOPP_/?img_index=1</t>
  </si>
  <si>
    <t>Polytone 104</t>
  </si>
  <si>
    <t>Marta Bellomo</t>
  </si>
  <si>
    <t>https://www.instagram.com/p/C_N44PXRGyZ/?img_index=1</t>
  </si>
  <si>
    <t>Polytone Taurus 2</t>
  </si>
  <si>
    <t>Marshall DSL 15c</t>
  </si>
  <si>
    <t>ARROYO</t>
  </si>
  <si>
    <t>https://www.instagram.com/p/DDPWWZAxGH6/?img_index=1</t>
  </si>
  <si>
    <t>Peavey 6505</t>
  </si>
  <si>
    <t>Orange Tiny Terror + Caja Orange 1x12</t>
  </si>
  <si>
    <t>https://www.instagram.com/p/DM0ySvbR7Cb/?img_index=1</t>
  </si>
  <si>
    <t>Marshall DSL 40c</t>
  </si>
  <si>
    <t>https://www.instagram.com/p/DHlisasxGEJ/?img_index=1</t>
  </si>
  <si>
    <t>-</t>
  </si>
  <si>
    <t>Marshall JCM600 Head + Cab</t>
  </si>
  <si>
    <t>https://www.instagram.com/p/DRALwheDi5y/?img_index=1</t>
  </si>
  <si>
    <t>Toro Amps Brhaman High Gain + Caja 2x12 V30</t>
  </si>
  <si>
    <t>Agustin</t>
  </si>
  <si>
    <t>https://www.instagram.com/p/DR0RTkiDLOC/?img_index=1</t>
  </si>
  <si>
    <t>Marshall JCM 900</t>
  </si>
  <si>
    <t>Estefania</t>
  </si>
  <si>
    <t>https://www.instagram.com/p/DPM_v6bkcOW/?img_index=1</t>
  </si>
  <si>
    <t>Savage Audio Blitz 50</t>
  </si>
  <si>
    <t>AMIGO JUANO</t>
  </si>
  <si>
    <t>Fender Bandmaster Reverb '67</t>
  </si>
  <si>
    <t>https://www.instagram.com/p/DOoyKUqDWcJ/?img_index=1</t>
  </si>
  <si>
    <t>Marshall 1974x Combo Handwired</t>
  </si>
  <si>
    <t>ORUGA AZUL</t>
  </si>
  <si>
    <t>https://www.instagram.com/p/DBUgFN5xoQA/?img_index=1</t>
  </si>
  <si>
    <t>Mesa Boogie MArk IV</t>
  </si>
  <si>
    <t>https://www.instagram.com/p/DGT05GdxO1G/?img_index=1</t>
  </si>
  <si>
    <t>Fender Super Sonic + Caja Super Sonic 412</t>
  </si>
  <si>
    <t xml:space="preserve">ESTEBAN </t>
  </si>
  <si>
    <t>https://www.instagram.com/p/DG3vKyhRYiQ/?img_index=1</t>
  </si>
  <si>
    <t>Marshall 1959 M Superlead 100 Caja Marshall 1960ax</t>
  </si>
  <si>
    <t>ESTEBAN R</t>
  </si>
  <si>
    <t>https://www.instagram.com/p/DHHa3oURVlm/?img_index=1</t>
  </si>
  <si>
    <t>Amps de bajo</t>
  </si>
  <si>
    <t>Amp David Even RoadRunner WT-600</t>
  </si>
  <si>
    <t>fabian martin</t>
  </si>
  <si>
    <t>Fender Rumble 500 V3</t>
  </si>
  <si>
    <t>https://www.instagram.com/p/DK8CPQIxhAh/?img_index=1</t>
  </si>
  <si>
    <t>Caja NTV</t>
  </si>
  <si>
    <t>https://www.instagram.com/p/DD74l7Wxb7E/?img_index=1</t>
  </si>
  <si>
    <t>Ampeg 115EN Made in USA Caja</t>
  </si>
  <si>
    <t>NICO CONVIDO</t>
  </si>
  <si>
    <t>https://www.instagram.com/p/C92b7ttR1td/?img_index=1</t>
  </si>
  <si>
    <t>Road Runner Twin Triode Tube Pre Amplifier - Eden WT-600</t>
  </si>
  <si>
    <t>Ashdown Touring 330 115H</t>
  </si>
  <si>
    <t>https://www.instagram.com/p/DGMGd94xhme/?img_index=1</t>
  </si>
  <si>
    <t>EBS HD350</t>
  </si>
  <si>
    <t>https://www.instagram.com/p/DVyp37PjN9G/?img_index=1</t>
  </si>
  <si>
    <t>Ampeg V4-B años 70's</t>
  </si>
  <si>
    <t>DIEGO SECO</t>
  </si>
  <si>
    <t>https://www.instagram.com/p/DYANfjUoLA_/?img_index=1</t>
  </si>
  <si>
    <t>Caja de Bajo Orange OBC410</t>
  </si>
  <si>
    <t>Cabezal de Bajo Orange AD200</t>
  </si>
  <si>
    <t>https://www.instagram.com/p/DGjOObOx9tW/?img_index=1</t>
  </si>
  <si>
    <t>Orange AD-30 + Orange CAB PPC212</t>
  </si>
  <si>
    <t>https://www.instagram.com/p/DHb55k3RR3T/?img_index=1</t>
  </si>
  <si>
    <t xml:space="preserve">Ampeg Classic Vintage </t>
  </si>
  <si>
    <t>https://www.instagram.com/p/DRLDcdBAGQn/?img_index=1</t>
  </si>
  <si>
    <t>Audio</t>
  </si>
  <si>
    <t>Martin Logan Dynamo Sub Woofer</t>
  </si>
  <si>
    <t xml:space="preserve">Krell Standard CD Player </t>
  </si>
  <si>
    <t>Martin Logan Scenario</t>
  </si>
  <si>
    <t>Bajos</t>
  </si>
  <si>
    <t xml:space="preserve">Fender Jaguar Bass MIM </t>
  </si>
  <si>
    <t>https://www.instagram.com/p/DO4WI7CD3PI/?img_index=1</t>
  </si>
  <si>
    <t>Hofner HCT-500/2 Contemporary Club Bass</t>
  </si>
  <si>
    <t>Pablo Quiñonez</t>
  </si>
  <si>
    <t>https://www.instagram.com/p/DRS3mCEk108/?img_index=1</t>
  </si>
  <si>
    <t>Warrior Custom Bass</t>
  </si>
  <si>
    <t>https://www.instagram.com/p/DPpEir5gPRt/?img_index=1</t>
  </si>
  <si>
    <t>Fender American Deluxe Jazz Bass V 1997</t>
  </si>
  <si>
    <t>PABLO FARSA</t>
  </si>
  <si>
    <t>https://www.instagram.com/p/DDiPLV7Rv6Q/?img_index=1</t>
  </si>
  <si>
    <t>Tobias Standard 5 Made in Japan</t>
  </si>
  <si>
    <t>https://www.instagram.com/p/DDfkGVax445/?img_index=1</t>
  </si>
  <si>
    <t>Bajo Benavente SCB Hollowbody</t>
  </si>
  <si>
    <t>https://www.instagram.com/p/DXKl_ZNjUUY/?img_index=1</t>
  </si>
  <si>
    <t>Baterias</t>
  </si>
  <si>
    <t>Electronica</t>
  </si>
  <si>
    <t xml:space="preserve">Kit Bateria electronica Roland </t>
  </si>
  <si>
    <t>Rodolfo Salinas</t>
  </si>
  <si>
    <t>https://www.instagram.com/p/DIuU9gdRVwa/?img_index=1</t>
  </si>
  <si>
    <t>Platos</t>
  </si>
  <si>
    <t>Crash Paiste PST3 14"</t>
  </si>
  <si>
    <t>Hernan Sanchez</t>
  </si>
  <si>
    <t>HiHat Paiste PST5 14"</t>
  </si>
  <si>
    <t>Sets</t>
  </si>
  <si>
    <t>Bateria Tama Rockstar + Fierros + Platos Zildjian</t>
  </si>
  <si>
    <t>PANZONI</t>
  </si>
  <si>
    <t>https://www.instagram.com/p/DId8zwMRAw_/?img_index=1</t>
  </si>
  <si>
    <t>Tambores</t>
  </si>
  <si>
    <t>Spaun Vented Acrylic</t>
  </si>
  <si>
    <t>Andy Villanova</t>
  </si>
  <si>
    <t>https://www.instagram.com/p/C66d_I7uARM/</t>
  </si>
  <si>
    <t>Taye Studio Birch 14x6"</t>
  </si>
  <si>
    <t>DW Jazz Series Custom 10x6"</t>
  </si>
  <si>
    <t>Rama Colomer</t>
  </si>
  <si>
    <t>GMS Maple 14 x 6"</t>
  </si>
  <si>
    <t xml:space="preserve">Dunnet Classic Wood </t>
  </si>
  <si>
    <t>https://www.instagram.com/p/C8c8ojqPvXb/</t>
  </si>
  <si>
    <t>Dunnet Classic Stainless Steel 14x5"</t>
  </si>
  <si>
    <t>https://www.instagram.com/p/C7md0h8xKOE/</t>
  </si>
  <si>
    <t>Gretsch New Classic Ocean Blue Sparkle</t>
  </si>
  <si>
    <t>Augusto</t>
  </si>
  <si>
    <t>Estudio</t>
  </si>
  <si>
    <t>Interfaces</t>
  </si>
  <si>
    <t xml:space="preserve">Audient Evo 8 </t>
  </si>
  <si>
    <t>https://www.instagram.com/p/DCFv5yWxEMT/?img_index=1</t>
  </si>
  <si>
    <t>Focusrite Saffire Pro40</t>
  </si>
  <si>
    <t>https://www.instagram.com/p/DBkGyJiR6uD/?img_index=1</t>
  </si>
  <si>
    <t>Interfaz Focusrite Scarlett 18i8</t>
  </si>
  <si>
    <t>Universal Audio Apollo Twin M Duo Core</t>
  </si>
  <si>
    <t>https://www.instagram.com/p/DDcdmRvR-q_/?img_index=1</t>
  </si>
  <si>
    <t>Universal Audio Apollo Quad FireWire</t>
  </si>
  <si>
    <t>https://www.instagram.com/p/C7z8XDPPqA4/?img_index=1</t>
  </si>
  <si>
    <t>Pickups</t>
  </si>
  <si>
    <t>Seymour Duncan Antiquity Hot Strat</t>
  </si>
  <si>
    <t>?</t>
  </si>
  <si>
    <t>https://www.instagram.com/p/C_yH2q3xnUP/?img_index=1</t>
  </si>
  <si>
    <t>Microfonos</t>
  </si>
  <si>
    <t>Sennheiser MD421 II</t>
  </si>
  <si>
    <t>BACO FERREIRA</t>
  </si>
  <si>
    <t>https://www.instagram.com/p/DItiQGdRzBi/?img_index=1</t>
  </si>
  <si>
    <t>Audiotechnica AT4033A</t>
  </si>
  <si>
    <t>https://www.instagram.com/p/DHtgoHpxIdI/?img_index=1</t>
  </si>
  <si>
    <t>Sennheiser MKH 416T</t>
  </si>
  <si>
    <t>Fede Arroyo</t>
  </si>
  <si>
    <t>Microfono Inalámbrico Shure SM58 Receptor Inalámbrico BLX4R</t>
  </si>
  <si>
    <t>FEDE ARROYO</t>
  </si>
  <si>
    <t>Universal Audio Sphere LX</t>
  </si>
  <si>
    <t>MARTIN STRANG</t>
  </si>
  <si>
    <t>https://www.instagram.com/p/DIge4djRWPX/?img_index=1</t>
  </si>
  <si>
    <t>Neumann BCM 104 Microfono condensador cardioide para broadcast</t>
  </si>
  <si>
    <t>Silvio Neumann</t>
  </si>
  <si>
    <t>https://www.instagram.com/p/DJrd9fwRLee/?img_index=1</t>
  </si>
  <si>
    <t xml:space="preserve">Neumann u87 </t>
  </si>
  <si>
    <t>JOE MOGO</t>
  </si>
  <si>
    <t>https://www.instagram.com/p/DE5wbeHRNq1/?img_index=1</t>
  </si>
  <si>
    <t>Mics</t>
  </si>
  <si>
    <t>Rode K2 Tube Condenser Mic</t>
  </si>
  <si>
    <t>ALE CUSTOM</t>
  </si>
  <si>
    <t>Mixer</t>
  </si>
  <si>
    <t>Alto S8 Mixer</t>
  </si>
  <si>
    <t>https://www.instagram.com/p/DPoa_y0leTi/?img_index=10</t>
  </si>
  <si>
    <t>Mixer Alesis Studio 12R</t>
  </si>
  <si>
    <t>https://www.instagram.com/p/DQC4Ji7kTyv/?img_index=8</t>
  </si>
  <si>
    <t>Mackie ProFX12v3</t>
  </si>
  <si>
    <t xml:space="preserve">ROBERTO </t>
  </si>
  <si>
    <t>https://www.instagram.com/p/DNBktN2yt9G/?img_index=1</t>
  </si>
  <si>
    <t>Pre</t>
  </si>
  <si>
    <t xml:space="preserve">Focusrite ISA One - Preamp Mic </t>
  </si>
  <si>
    <t>Mili Pini</t>
  </si>
  <si>
    <t>Preamps</t>
  </si>
  <si>
    <t>Synergy IICP</t>
  </si>
  <si>
    <t>https://www.instagram.com/p/C6d-o8Fu_RF/?img_index=1</t>
  </si>
  <si>
    <t>Synergy Bogner Ectasy</t>
  </si>
  <si>
    <t>Synergy Diezel VH4</t>
  </si>
  <si>
    <t>Synergy Friedman BE-BB</t>
  </si>
  <si>
    <t>Synergy Friedman HBE</t>
  </si>
  <si>
    <t>Synergy Fryette Pittbull Ultra Lead</t>
  </si>
  <si>
    <t>Synergy Soldano SLO</t>
  </si>
  <si>
    <t xml:space="preserve">BluGuitar Amp1 </t>
  </si>
  <si>
    <t>Victoria</t>
  </si>
  <si>
    <t>https://www.instagram.com/p/DPoa_y0leTi/?img_index=1</t>
  </si>
  <si>
    <t>Mezzabarba Nirvana</t>
  </si>
  <si>
    <t>https://www.instagram.com/p/C5TCbgUuB0w/?img_index=1</t>
  </si>
  <si>
    <t>TC Electronic M350</t>
  </si>
  <si>
    <t>https://www.instagram.com/p/Cy6V7wfImCt/?img_index=1</t>
  </si>
  <si>
    <t>Rack Geminis de 2 unidades</t>
  </si>
  <si>
    <t>PABLO RESNIZKY</t>
  </si>
  <si>
    <t>https://www.instagram.com/p/DHqpKoJR04i/?img_index=1</t>
  </si>
  <si>
    <t>TC Electronics M350 (hay 2 un)</t>
  </si>
  <si>
    <t>https://www.instagram.com/p/DFK0O8RRqxB/?img_index=1</t>
  </si>
  <si>
    <t>Heritage Audio OST-4 V2.0</t>
  </si>
  <si>
    <t>https://www.instagram.com/p/DMaxzOoONVx/?img_index=1</t>
  </si>
  <si>
    <t>Tascam DR-680 MKII</t>
  </si>
  <si>
    <t>Inward Connections The Brute</t>
  </si>
  <si>
    <t>https://www.instagram.com/p/C5MkaG2vHwM/?img_index=1</t>
  </si>
  <si>
    <t>Boss Waza Tube Expander</t>
  </si>
  <si>
    <t>Ornella</t>
  </si>
  <si>
    <t>https://www.instagram.com/p/C7xP9w4Pgem/?img_index=1</t>
  </si>
  <si>
    <t>Lunchbox Serie 500 Ovie C176</t>
  </si>
  <si>
    <t>IGS Audio One LA500</t>
  </si>
  <si>
    <t xml:space="preserve">MARCE Z </t>
  </si>
  <si>
    <t>https://www.instagram.com/p/DIrqKVGRD8Y/?img_index=1</t>
  </si>
  <si>
    <t>Fryette 2/50/2 Stereo Power Amplifier</t>
  </si>
  <si>
    <t>https://www.instagram.com/p/C5VePmduwUv/?img_index=1</t>
  </si>
  <si>
    <t>Stam 1073MPA - Preamp &amp; EQ</t>
  </si>
  <si>
    <t>Stam Audio SA-2A</t>
  </si>
  <si>
    <t>MILI PINI</t>
  </si>
  <si>
    <t>https://www.instagram.com/p/DSOOdqoE0Wq/?img_index=1</t>
  </si>
  <si>
    <t>Universal Audio Solo 610 Classic Vacuum Tube</t>
  </si>
  <si>
    <t>Monitores Focal Alpha 80</t>
  </si>
  <si>
    <t>Korelec Atlantis 1 Echo Machine</t>
  </si>
  <si>
    <t>https://www.instagram.com/p/DL3BhZPyo2z/?img_index=1</t>
  </si>
  <si>
    <t>Conversor RME Audio AD/DA ADI-8 QS</t>
  </si>
  <si>
    <t>Julian Midon</t>
  </si>
  <si>
    <t>https://www.instagram.com/p/DJ2lyMQxw2V/?img_index=1</t>
  </si>
  <si>
    <t>Shadow Hills Industries Dual Vandergraph</t>
  </si>
  <si>
    <t>MARCE Z</t>
  </si>
  <si>
    <t>https://www.instagram.com/p/DIZuBN5RCQg/?img_index=1</t>
  </si>
  <si>
    <t>Guitarras</t>
  </si>
  <si>
    <t>Electricas</t>
  </si>
  <si>
    <t>PRS SE Standard 24 Cherry</t>
  </si>
  <si>
    <t>https://www.instagram.com/p/DCVB8i4x0Xa/?img_index=1</t>
  </si>
  <si>
    <t xml:space="preserve">Epiphone Casino </t>
  </si>
  <si>
    <t>Epiphone</t>
  </si>
  <si>
    <t>Fender Stratocaster Left Handed Mexico 2013</t>
  </si>
  <si>
    <t>https://www.instagram.com/p/C66angaO_LO/?img_index=1</t>
  </si>
  <si>
    <t>Fender</t>
  </si>
  <si>
    <t>Andy Summers Telecaster Viel Guitarras SB</t>
  </si>
  <si>
    <t>https://www.instagram.com/p/DF036qfx2C8/?img_index=1</t>
  </si>
  <si>
    <t xml:space="preserve"> Prestige S2020X Made in Japan</t>
  </si>
  <si>
    <t>https://www.instagram.com/p/DJuG4ySx2xM/?img_index=1</t>
  </si>
  <si>
    <t>Fender American Standard Stratocaster 2005</t>
  </si>
  <si>
    <t>BIGOTE</t>
  </si>
  <si>
    <t>https://www.instagram.com/p/DP9v8pfArjU/?img_index=1</t>
  </si>
  <si>
    <t>Fender Stratocaster Dan Smith Era 1983 (Roja)</t>
  </si>
  <si>
    <t>RUSO RAFFO</t>
  </si>
  <si>
    <t>https://www.instagram.com/p/C8cFRMku-qz/?img_index=2</t>
  </si>
  <si>
    <t>G&amp;L S-500 Deluxe Fullerton</t>
  </si>
  <si>
    <t>https://www.instagram.com/p/DJWpxIGRfjo/?img_index=1</t>
  </si>
  <si>
    <t>Fender Stratocaster Dan Smith Era 1982</t>
  </si>
  <si>
    <t>https://www.instagram.com/p/C8cFRMku-qz/?img_index=1</t>
  </si>
  <si>
    <t>Ibanez Prestige AZS2209H</t>
  </si>
  <si>
    <t>https://www.instagram.com/p/C9p7BPfPdoe/?img_index=1</t>
  </si>
  <si>
    <t>Burns Legend 30/50 Anniversary</t>
  </si>
  <si>
    <t>https://www.instagram.com/p/DFqOb_PRdE6/?img_index=1</t>
  </si>
  <si>
    <t>Fender American Vintage II 1961 Stratocaster</t>
  </si>
  <si>
    <t>https://www.instagram.com/p/DMBaLbQxo5Y/?img_index=1</t>
  </si>
  <si>
    <t xml:space="preserve">Peavey EVH Wolfgang (Pat Pend) </t>
  </si>
  <si>
    <t>https://www.instagram.com/p/DUB2nSYkbcN/?img_index=1</t>
  </si>
  <si>
    <t>Fender Jazzmaster American Original 60's color Ocean Turquoise</t>
  </si>
  <si>
    <t>AUGUSTO</t>
  </si>
  <si>
    <t>https://www.instagram.com/p/DHEq646xNuR/</t>
  </si>
  <si>
    <t>Gibson Flying V 67 Reissue 1990 Two Tone Sunburst Finish</t>
  </si>
  <si>
    <t>https://www.instagram.com/p/C_gqiL2xckb/?img_index=1</t>
  </si>
  <si>
    <t>Gibson</t>
  </si>
  <si>
    <t>Strandberg Boden 7 Custom Shop</t>
  </si>
  <si>
    <t>https://www.instagram.com/p/Cq3lC_lv11z/?img_index=1</t>
  </si>
  <si>
    <t>Gibson Les Paul Standard Cherry Burst 1997</t>
  </si>
  <si>
    <t xml:space="preserve">Gibson Les Paul Standard 60s </t>
  </si>
  <si>
    <t>CHILENO</t>
  </si>
  <si>
    <t>https://www.instagram.com/p/DGBzUMixFh6/?img_index=1</t>
  </si>
  <si>
    <t>Gibson Les Paul Standard Tobacco Sunburst</t>
  </si>
  <si>
    <t>Gibson RD Custom 1978 Natural Finish</t>
  </si>
  <si>
    <t>https://www.instagram.com/p/C_ROWusvWrz/?img_index=1</t>
  </si>
  <si>
    <t>Fano Alt de facto SP6</t>
  </si>
  <si>
    <t>https://www.instagram.com/p/C5yh2k4u11_/?img_index=8</t>
  </si>
  <si>
    <t xml:space="preserve">Fender Jaguar año 1965 Olympic white </t>
  </si>
  <si>
    <t>https://www.instagram.com/p/DA6vg8_xDz6/?img_index=7</t>
  </si>
  <si>
    <t>Jazz</t>
  </si>
  <si>
    <t>Ibanez Artist 2616 CS Cherry Sunburst</t>
  </si>
  <si>
    <t>https://www.instagram.com/p/C7m-zldvazE/?img_index=1</t>
  </si>
  <si>
    <t>GB10 George Benson Signature</t>
  </si>
  <si>
    <t>DARIO FERNANDEZ</t>
  </si>
  <si>
    <t>https://www.instagram.com/p/DJ6wmxRRfRh/?img_index=1</t>
  </si>
  <si>
    <t>Pat Metheny PM120</t>
  </si>
  <si>
    <t xml:space="preserve"> </t>
  </si>
  <si>
    <t>D'Aquisto DQ Solo RI</t>
  </si>
  <si>
    <t>MORAGAS</t>
  </si>
  <si>
    <t>https://www.instagram.com/p/CgnSlhFu0uS/?img_index=1</t>
  </si>
  <si>
    <t>Gibson ES-165 Herb Ellis</t>
  </si>
  <si>
    <t>BELLOMO</t>
  </si>
  <si>
    <t>https://www.instagram.com/p/C9BBO5mPG6Q/?img_index=2</t>
  </si>
  <si>
    <t>Gibson ES-175T</t>
  </si>
  <si>
    <t>https://www.instagram.com/p/C77ReLKvBCR/?img_index=1</t>
  </si>
  <si>
    <t>Gibson L4 CES</t>
  </si>
  <si>
    <t>MIGUEL OYUELA</t>
  </si>
  <si>
    <t>https://www.instagram.com/p/DI96hcgxU22/?img_index=1</t>
  </si>
  <si>
    <t xml:space="preserve"> Pat Metheny PM100</t>
  </si>
  <si>
    <t>Guitarra Acustica Antigua Casa Nuñez</t>
  </si>
  <si>
    <t>https://www.instagram.com/p/DJMQHWtxHub/?img_index=1</t>
  </si>
  <si>
    <t>Fender GII-E Made in Korea</t>
  </si>
  <si>
    <t>https://www.instagram.com/p/C_ITxAfxB3V/?img_index=1</t>
  </si>
  <si>
    <t>Fender DG-4/TS</t>
  </si>
  <si>
    <t>https://www.instagram.com/p/C8rprt7O8bu/?img_index=1</t>
  </si>
  <si>
    <t>Guitarra Fratti - Años 70</t>
  </si>
  <si>
    <t>https://www.instagram.com/p/DRCxYBhDje4/?img_index=1</t>
  </si>
  <si>
    <t>Alpujarra KEC85</t>
  </si>
  <si>
    <t>Valen Bonetto</t>
  </si>
  <si>
    <t>Epiphone Songmaker DR-212</t>
  </si>
  <si>
    <t>Fender CD-140SCE</t>
  </si>
  <si>
    <t>Cimar SG Made in Japan 1970</t>
  </si>
  <si>
    <t>Hondo II Les Paul Standard Made in Korea</t>
  </si>
  <si>
    <t>Fender DG-16E12 Acustica Electro12 cuerdas</t>
  </si>
  <si>
    <t xml:space="preserve">Samana Les Paul </t>
  </si>
  <si>
    <t>https://www.instagram.com/p/DR3G0dWCvj9/?img_index=1</t>
  </si>
  <si>
    <t>Ibanez RG950QMZ</t>
  </si>
  <si>
    <t>Ibanez RT-240</t>
  </si>
  <si>
    <t>Epiphone Genesis Negra</t>
  </si>
  <si>
    <t>https://www.instagram.com/p/DP4jXyDgafR/?img_index=9</t>
  </si>
  <si>
    <t>Epiphone Genesis Sunburst</t>
  </si>
  <si>
    <t>Squier Classic Vibe Bass VI</t>
  </si>
  <si>
    <t>Fuzz Equipamientos</t>
  </si>
  <si>
    <t>https://www.instagram.com/p/DLnpcY3Rv93/?img_index=1</t>
  </si>
  <si>
    <t>Epiphone ES-295 con Bigsby Gold Finish</t>
  </si>
  <si>
    <t>Maku Kado</t>
  </si>
  <si>
    <t>Fender Player Stratocaster MN</t>
  </si>
  <si>
    <t>Ibanez RG570 Japon 1993</t>
  </si>
  <si>
    <t>https://www.instagram.com/p/DQCQshhDY-W/?img_index=1</t>
  </si>
  <si>
    <t>Ovation Glenn Campbell 1771VL-1GC</t>
  </si>
  <si>
    <t>https://www.instagram.com/p/DJVC6ooR4pu/?img_index=1</t>
  </si>
  <si>
    <t>Takamine EAN-16c</t>
  </si>
  <si>
    <t>Leon</t>
  </si>
  <si>
    <t>https://www.instagram.com/p/DRiCSENEfQy/?img_index=1</t>
  </si>
  <si>
    <t>Viel Telecaster Blonde</t>
  </si>
  <si>
    <t>PRS SE Custom 24 7 - String - Korea 2017</t>
  </si>
  <si>
    <t>https://www.instagram.com/p/DO9ag1vE09k/?img_index=5</t>
  </si>
  <si>
    <t>Fender Stratocaster American Standard 2008 Charcoal Frost Metallic</t>
  </si>
  <si>
    <t xml:space="preserve">Takamine CP132SC </t>
  </si>
  <si>
    <t>https://www.instagram.com/p/DMGi7ipxzU5/?img_index=1</t>
  </si>
  <si>
    <t xml:space="preserve">Ernie Ball Music Man Axis Super Sport </t>
  </si>
  <si>
    <t>https://www.instagram.com/p/DR-qyBZgKiT/?img_index=1</t>
  </si>
  <si>
    <t>Electra vox Guitar Lab – Jazzmaster Style USA 2023</t>
  </si>
  <si>
    <t>Yamaha Martin Taylor Signature</t>
  </si>
  <si>
    <t>https://www.instagram.com/p/DPkLFtagO/?img_index=1</t>
  </si>
  <si>
    <t>Warrior Custom Guitar</t>
  </si>
  <si>
    <t>MORAGA</t>
  </si>
  <si>
    <t>https://www.instagram.com/p/DAOxbiyPGJE/?img_index=1</t>
  </si>
  <si>
    <t>Fender American Standard TPP Andy Summers Telecaster Tribute (VOS)</t>
  </si>
  <si>
    <t>https://www.instagram.com/p/DPFHrBMk4ig/?img_index=1</t>
  </si>
  <si>
    <t>Gretsch G6122 - 192 Country Classic II Walnut Stain</t>
  </si>
  <si>
    <t>https://www.instagram.com/p/DKclSGAR1eh/?img_index=1</t>
  </si>
  <si>
    <t>Mc Naught Orion</t>
  </si>
  <si>
    <t>https://www.instagram.com/p/Ce9Ryw1Oi1b/?igsh=a3YwdW15dzRsY21k</t>
  </si>
  <si>
    <t>Onix VII Trem Amethyst Sparkle Custom Shop</t>
  </si>
  <si>
    <t>https://www.instagram.com/p/DRYCcCTk62K/?img_index=1</t>
  </si>
  <si>
    <t>Gibson Firebird - Vintage Sunburst 2008</t>
  </si>
  <si>
    <t>Mariano Bosich</t>
  </si>
  <si>
    <t>https://www.instagram.com/p/DPPg86Uk-CQ/?img_index=6</t>
  </si>
  <si>
    <t>Fender Telecaster Deluxe 1978</t>
  </si>
  <si>
    <t>https://www.instagram.com/p/DP19459E5F2/?img_index=9</t>
  </si>
  <si>
    <t>Gibson ES-339 Cherry Gloss 2022</t>
  </si>
  <si>
    <t>https://www.instagram.com/p/DP7KG_-kSu-/?img_index=9</t>
  </si>
  <si>
    <t>Ibanez Johnny Smith Model 2461NT</t>
  </si>
  <si>
    <t>https://www.instagram.com/p/C4bvyEqR5ZL/?img_index=1</t>
  </si>
  <si>
    <t>Fender Stratocaster USA 77/78</t>
  </si>
  <si>
    <t>https://www.instagram.com/p/DRVcsc3Exff/?img_index=1</t>
  </si>
  <si>
    <t xml:space="preserve"> 2461NT “L5” Archtop Natural
Johnny Smith</t>
  </si>
  <si>
    <t>https://www.instagram.com/p/C9nDNLzRXUN/?img_index=1</t>
  </si>
  <si>
    <t>Earnie Ball Music man Axis BFR Rosewood Neck</t>
  </si>
  <si>
    <t>Sebastian Huelmo</t>
  </si>
  <si>
    <t>https://www.instagram.com/p/DRszd7hEas2/?img_index=1</t>
  </si>
  <si>
    <t>Ibanez LGB 300 George Benson Signature</t>
  </si>
  <si>
    <t>Roberto</t>
  </si>
  <si>
    <t>https://www.instagram.com/p/DL5yvo0x9pb/?img_index=1</t>
  </si>
  <si>
    <t>Gibson Custom Shop Les Paul '57 Black Beauty</t>
  </si>
  <si>
    <t>https://www.instagram.com/p/DQAWkCBDEW-/?img_index=9</t>
  </si>
  <si>
    <t>Gibson Custom L-5</t>
  </si>
  <si>
    <t>RODOLFO SALINAS</t>
  </si>
  <si>
    <t>https://www.instagram.com/p/DN1V0Bj6roj/?img_index=1</t>
  </si>
  <si>
    <t>Shure Beta 52A</t>
  </si>
  <si>
    <t>Rode NT1A</t>
  </si>
  <si>
    <t>Set Shure PGA Drumkit 5 + Par de aereos Samson C02</t>
  </si>
  <si>
    <t>https://www.instagram.com/p/DR236cbEQIU/?img_index=1</t>
  </si>
  <si>
    <t>Pedaleras</t>
  </si>
  <si>
    <t>Modelers</t>
  </si>
  <si>
    <t>Fractal audio FX8 Mark II</t>
  </si>
  <si>
    <t>Sergio/Miguel</t>
  </si>
  <si>
    <t>https://www.instagram.com/p/C3Q9Hb5PiEm/?img_index=1</t>
  </si>
  <si>
    <t>Kemper Profiler Power Rack Head + Profiler Remote</t>
  </si>
  <si>
    <t>Roland System VG-88</t>
  </si>
  <si>
    <t>https://www.instagram.com/p/DCC-HsSx9G-/?img_index=1</t>
  </si>
  <si>
    <t>Helix Line 6</t>
  </si>
  <si>
    <t>Pedales</t>
  </si>
  <si>
    <t>NUX CH-3 Chorus Analogico</t>
  </si>
  <si>
    <t>https://www.instagram.com/p/C9M-0MVx8MH/?img_index=1</t>
  </si>
  <si>
    <t>Electromate King Vegas (Delay Analogico)</t>
  </si>
  <si>
    <t>Hotone Verb - Reverb</t>
  </si>
  <si>
    <t>NUX Mod Core Deluxe - Multifx</t>
  </si>
  <si>
    <t>Boss FV50H</t>
  </si>
  <si>
    <t xml:space="preserve">Cluster StarFox </t>
  </si>
  <si>
    <t>https://www.instagram.com/p/DP1UbFxDljq/?img_index=4</t>
  </si>
  <si>
    <t>X-Plex</t>
  </si>
  <si>
    <t xml:space="preserve">xotic EP Booster </t>
  </si>
  <si>
    <t>TC Electronics Polytune 2</t>
  </si>
  <si>
    <t>https://www.instagram.com/p/DPj5dDojC/?img_index=1</t>
  </si>
  <si>
    <t>Maza Overdrive Booster fx Legend modified</t>
  </si>
  <si>
    <t>Boss Limiter Enhancer LMB-3</t>
  </si>
  <si>
    <t>Amptweaker Tight Rock Jr.</t>
  </si>
  <si>
    <t>Boss SD-1 Super Overdrive</t>
  </si>
  <si>
    <t>Boss Chorus Ensemble CE-5</t>
  </si>
  <si>
    <t>https://www.instagram.com/p/C8-hmz7v6kR/?img_index=7</t>
  </si>
  <si>
    <t>Digitech Expression Factory</t>
  </si>
  <si>
    <t>Montreal Assembly Puhzing</t>
  </si>
  <si>
    <t>Sergio Alvarez</t>
  </si>
  <si>
    <t>T Rex Quint Machine</t>
  </si>
  <si>
    <t>Flanger Alexander F13</t>
  </si>
  <si>
    <t>Friedman Sir Compre</t>
  </si>
  <si>
    <t>Vicky</t>
  </si>
  <si>
    <t>https://www.instagram.com/p/DPoa_y0leTi/?img_index=8</t>
  </si>
  <si>
    <t>Boss OC-3 Super Octave</t>
  </si>
  <si>
    <t>Ernie Ball Junior Vol</t>
  </si>
  <si>
    <t>https://www.instagram.com/p/C7FTbvSvxT8/?img_index=2</t>
  </si>
  <si>
    <t>TC electronic Polytune 2 mini</t>
  </si>
  <si>
    <t xml:space="preserve">Boss Compression Sustainer Japon </t>
  </si>
  <si>
    <t xml:space="preserve"> SC10 Super stereo Chorus Japon</t>
  </si>
  <si>
    <t xml:space="preserve">T-Rex Tremonti </t>
  </si>
  <si>
    <t>https://www.instagram.com/p/DP1UbFxDljq/?img_index=7</t>
  </si>
  <si>
    <t>Tc Electronic Alter Ego V2</t>
  </si>
  <si>
    <t>Boss Flanger BF-3</t>
  </si>
  <si>
    <t>Dunlop 535Q</t>
  </si>
  <si>
    <t>Electro Harmonix Nano Looper 360</t>
  </si>
  <si>
    <t>https://www.instagram.com/p/DPoa_y0leTi/?img_index=6</t>
  </si>
  <si>
    <t>Electro Harmonix Super Ego</t>
  </si>
  <si>
    <t>https://www.instagram.com/p/DP1UbFxDljq/?img_index=5</t>
  </si>
  <si>
    <t>Exh Superego</t>
  </si>
  <si>
    <t>Fuel Tank Chamaleon</t>
  </si>
  <si>
    <t xml:space="preserve">Fulltone '69 MKII </t>
  </si>
  <si>
    <t>https://www.instagram.com/p/DP1UbFxDljq/?img_index=1</t>
  </si>
  <si>
    <t>Solid Studio Nux Power Amp Simulator</t>
  </si>
  <si>
    <t>Wah Wah Vox USA MINT</t>
  </si>
  <si>
    <t>Jim Dunlop dvp4</t>
  </si>
  <si>
    <t>Catalinbread Belle Epoch</t>
  </si>
  <si>
    <t xml:space="preserve">Earthquaker Devices Spatial Delivery </t>
  </si>
  <si>
    <t>Maxon SD-9</t>
  </si>
  <si>
    <t>Peterson Afinador</t>
  </si>
  <si>
    <t>Way Huge Havalina Fuzz</t>
  </si>
  <si>
    <t xml:space="preserve">Pigtronix Rototron </t>
  </si>
  <si>
    <t>Line 6 MM4</t>
  </si>
  <si>
    <t>https://www.instagram.com/p/DPj5dDojC/?img_index=4</t>
  </si>
  <si>
    <t>Ehx B9 Organ Machine</t>
  </si>
  <si>
    <t>Exh C9 Organ Machine</t>
  </si>
  <si>
    <t>Digitech Polara Reverb</t>
  </si>
  <si>
    <t>Earthquaker Devices Data Corrupter</t>
  </si>
  <si>
    <t>https://www.instagram.com/p/DP1UbFxDljq/?img_index=2</t>
  </si>
  <si>
    <t>Boss CE2W</t>
  </si>
  <si>
    <t>https://www.instagram.com/p/C7FTbvSvxT8/?img_index=6</t>
  </si>
  <si>
    <t xml:space="preserve">Electro Harmonix Ring Thing </t>
  </si>
  <si>
    <t>https://www.instagram.com/p/DP1UbFxDljq/?img_index=3</t>
  </si>
  <si>
    <t xml:space="preserve">Analog Man Enevelope Filter </t>
  </si>
  <si>
    <t>Line 6 DL4</t>
  </si>
  <si>
    <t>https://www.instagram.com/p/DPj5dDojC/?img_index=2</t>
  </si>
  <si>
    <t>Boss Loop Station RC5</t>
  </si>
  <si>
    <t>JHS Bonsai</t>
  </si>
  <si>
    <t>https://www.instagram.com/p/C8-hmz7v6kR/?img_index=2</t>
  </si>
  <si>
    <t>Morley PFV Volume/Phaser</t>
  </si>
  <si>
    <t>https://www.instagram.com/p/C8-hmz7v6kR/?img_index=1</t>
  </si>
  <si>
    <t>XW1 Wah Wah</t>
  </si>
  <si>
    <t>Free The Tone Overdrive</t>
  </si>
  <si>
    <t>Montreal Assembly Count to 5</t>
  </si>
  <si>
    <t>Skreddy Pedals Echo</t>
  </si>
  <si>
    <t xml:space="preserve">Boss Delay Machine Roland </t>
  </si>
  <si>
    <t>Boss Reverb RV500</t>
  </si>
  <si>
    <t>Chase Bliss Tonal Recall Blue Knobs</t>
  </si>
  <si>
    <t>https://www.instagram.com/p/DP1UbFxDljq/?img_index=6</t>
  </si>
  <si>
    <t xml:space="preserve"> Tube Screamer TS10</t>
  </si>
  <si>
    <t>Pigtronix Infinity Looper</t>
  </si>
  <si>
    <t>DSM Humboldt Simplifier M</t>
  </si>
  <si>
    <t>Catalinbread Soft Focus Deluxe FX40</t>
  </si>
  <si>
    <t>https://www.instagram.com/p/DPoa_y0leTi/?img_index=2</t>
  </si>
  <si>
    <t>Flint Version 2 USBC MIDI</t>
  </si>
  <si>
    <t>Sabbadius Funk Vibe 69</t>
  </si>
  <si>
    <t>https://www.instagram.com/p/DJPSTtNRGJC/?img_index=1</t>
  </si>
  <si>
    <t>Strymon Volante</t>
  </si>
  <si>
    <t>Tonal Recall Red Knob Edition</t>
  </si>
  <si>
    <t>Zenkudo</t>
  </si>
  <si>
    <t>Golden Age R1 Active MKIII</t>
  </si>
  <si>
    <t>Eventide H9 Max</t>
  </si>
  <si>
    <t>https://www.instagram.com/p/DPj5dDojC/?img_index=3</t>
  </si>
  <si>
    <t>Boss GT-1000 CORE</t>
  </si>
  <si>
    <t>Hernan Marrone</t>
  </si>
  <si>
    <t>Klon KTR</t>
  </si>
  <si>
    <t>Diamond Memory Lane 2</t>
  </si>
  <si>
    <t>Tim V1</t>
  </si>
  <si>
    <t>Roland GR-55</t>
  </si>
  <si>
    <t>https://www.instagram.com/p/C5hHMTYvq_N/?img_index=1</t>
  </si>
  <si>
    <t>Line 6 Helix LT</t>
  </si>
  <si>
    <t>Alejandro Fabrega Acosta</t>
  </si>
  <si>
    <t>Fulltone Tube Tape Echo TTE</t>
  </si>
  <si>
    <t xml:space="preserve">A/DA Flanger </t>
  </si>
  <si>
    <t xml:space="preserve">ADA Guitar Cabinet Simulator </t>
  </si>
  <si>
    <t xml:space="preserve">Alexander Syntax Error </t>
  </si>
  <si>
    <t>Artec Power Brick Fuente</t>
  </si>
  <si>
    <t>Boss GEB-7</t>
  </si>
  <si>
    <t>Boss Hyper Metal HM-3</t>
  </si>
  <si>
    <t>Boss Metal Zone MT-2</t>
  </si>
  <si>
    <t>Boss Super Phaser PH-2</t>
  </si>
  <si>
    <t>Cry Baby Mini</t>
  </si>
  <si>
    <t>devie ever dream mangler</t>
  </si>
  <si>
    <t>Earthquaker Devices Bit Commander</t>
  </si>
  <si>
    <t xml:space="preserve">Electro Harmonix Lester K Stereo Rotary Speaker </t>
  </si>
  <si>
    <t>Fuzz Factory Z-vex Effects</t>
  </si>
  <si>
    <t>G-Lab DR-2 Dual Reverb</t>
  </si>
  <si>
    <t>Marshall Echohead delay</t>
  </si>
  <si>
    <t>Meris Polymoon</t>
  </si>
  <si>
    <t>MI Effects Gi Fuzz</t>
  </si>
  <si>
    <t>Morley Selector combiner switch ABC</t>
  </si>
  <si>
    <t>Morningstar MC6 Midi Controller</t>
  </si>
  <si>
    <t>Nanolog Wave Function</t>
  </si>
  <si>
    <t>Nux Steel Singer Drive Reissue Series</t>
  </si>
  <si>
    <t>Phoenix Custom Electronics Lady Stardust</t>
  </si>
  <si>
    <t>Pigtronix Philosopher King</t>
  </si>
  <si>
    <t>T-rex Viper</t>
  </si>
  <si>
    <t xml:space="preserve">TC Electronic Skysurfer Reverb </t>
  </si>
  <si>
    <t>TC Electronics Afterglow Chorus</t>
  </si>
  <si>
    <t xml:space="preserve">Vox V810 Reverb </t>
  </si>
  <si>
    <t>Electro Harmonix Micro Synth</t>
  </si>
  <si>
    <t>Fabrizzi</t>
  </si>
  <si>
    <t>Korg Xvp10</t>
  </si>
  <si>
    <t>RAT Proco</t>
  </si>
  <si>
    <t>Alejandro Lolla</t>
  </si>
  <si>
    <t>Tech 21 - Hot Rod Plexi</t>
  </si>
  <si>
    <t>Saxo</t>
  </si>
  <si>
    <t>Saxo Alto Yamaha YAS-23</t>
  </si>
  <si>
    <t>Paula Trama</t>
  </si>
  <si>
    <t>https://www.instagram.com/p/DEOCn9yxQVr/</t>
  </si>
  <si>
    <t>Saxo Alto Selmer Balanced Action</t>
  </si>
  <si>
    <t>Teclas</t>
  </si>
  <si>
    <t>Controlador M-Audio Oxygen 61 con pie</t>
  </si>
  <si>
    <t>https://www.instagram.com/p/DIlto-rR5Fo/?img_index=1</t>
  </si>
  <si>
    <t>Kawai ES110 88 teclas</t>
  </si>
  <si>
    <t>Lucas</t>
  </si>
  <si>
    <t>https://www.instagram.com/p/DQC4Ji7kTyv/?img_index=2</t>
  </si>
  <si>
    <t>Yamaha CS5</t>
  </si>
  <si>
    <t>SANTI MARTINEZ</t>
  </si>
  <si>
    <t>https://www.instagram.com/p/DHgD6enxWAP/?img_index=1</t>
  </si>
  <si>
    <t xml:space="preserve">Sequential Circuits Six-trak </t>
  </si>
  <si>
    <t>Roland FA08</t>
  </si>
  <si>
    <t>ARIENTI</t>
  </si>
  <si>
    <t>https://www.instagram.com/p/DIXQ0feRgm2/?img_index=1</t>
  </si>
  <si>
    <t>Waldorf Q Synth Halloween edition</t>
  </si>
  <si>
    <t>UROLOGO</t>
  </si>
  <si>
    <t>https://www.instagram.com/p/C7zZWj5xN1s/</t>
  </si>
  <si>
    <t>Artesia PA-88 teclas</t>
  </si>
  <si>
    <t>Alejandro Milani</t>
  </si>
  <si>
    <t>https://www.instagram.com/p/DOZXmockyMR/?img_index=1</t>
  </si>
  <si>
    <t>Neumann Km184</t>
  </si>
  <si>
    <t>Polytune 3</t>
  </si>
  <si>
    <t>Kawai KM1 Desktop</t>
  </si>
  <si>
    <t>https://www.instagram.com/p/DHGRhpARIB2/?img_index=1</t>
  </si>
  <si>
    <t>Super vee tremolo</t>
  </si>
  <si>
    <t>https://www.instagram.com/p/DPoa_y0leTi/?img_index=4</t>
  </si>
  <si>
    <t>VegaTrem</t>
  </si>
  <si>
    <t>https://www.instagram.com/p/DPoa_y0leTi/?img_index=3</t>
  </si>
  <si>
    <t>Yamaha TX81Z</t>
  </si>
  <si>
    <t>https://www.instagram.com/p/DQC4Ji7kTyv/?img_index=6</t>
  </si>
  <si>
    <t>Jake Amps Big Foot</t>
  </si>
  <si>
    <t>TC Helicon Synth Voicetone</t>
  </si>
  <si>
    <t>Roland M-VS1</t>
  </si>
  <si>
    <t>https://www.instagram.com/p/DQC4Ji7kTyv/?img_index=3</t>
  </si>
  <si>
    <t>Consola</t>
  </si>
  <si>
    <t>Soundcraft Spirit E6</t>
  </si>
  <si>
    <t>https://www.instagram.com/p/DITx-gQROpC/?img_index=1</t>
  </si>
  <si>
    <t>Roland GR-33</t>
  </si>
  <si>
    <t>Subwoofer Apogee A18 ACTIVO 18" 350 Watts AES c/Crossover interno</t>
  </si>
  <si>
    <t>https://www.instagram.com/p/DGOrPOMR9HE/?img_index=1</t>
  </si>
  <si>
    <t>Tama Rockstar</t>
  </si>
  <si>
    <t>https://www.instagram.com/p/DT0-i6RkSQ1/?img_index=1</t>
  </si>
  <si>
    <t>Acoustic Image Ten2EX Speaker Cabinet</t>
  </si>
  <si>
    <t>https://www.instagram.com/p/DPRM3pdjNnZ/?img_index=6</t>
  </si>
  <si>
    <t>Ashun Machines Hydrasynth</t>
  </si>
  <si>
    <t>Fede del Cerro</t>
  </si>
  <si>
    <t xml:space="preserve">Roland VG-88 </t>
  </si>
  <si>
    <t>Roland KC 350 - PA Combo amp</t>
  </si>
  <si>
    <t>https://www.instagram.com/p/DOt7v-IFZyy/?img_index=1</t>
  </si>
  <si>
    <t>Fender Coronado II 2015</t>
  </si>
  <si>
    <t>DelVigo Superstrat Modern - Custom Build</t>
  </si>
  <si>
    <t>Joey</t>
  </si>
  <si>
    <t>Fulltone Tube Tape Echo (TTE)</t>
  </si>
  <si>
    <t>https://www.instagram.com/p/DR8Gr-QCvvx/?img_index=1</t>
  </si>
  <si>
    <t>Moog Moogefooger MF-104M</t>
  </si>
  <si>
    <t>Fede Del Cerro</t>
  </si>
  <si>
    <t>https://www.instagram.com/p/DB2BkD2x6We/</t>
  </si>
  <si>
    <t>Cartec Pre Q5 par apareado</t>
  </si>
  <si>
    <t>https://www.instagram.com/p/DUQz5-zDJhV/?img_index=1</t>
  </si>
  <si>
    <t>Fender Bassman 70 + Caja 2x12 Celestion V30</t>
  </si>
  <si>
    <t>Alan</t>
  </si>
  <si>
    <t>Bogner Shiva Combo 2x12</t>
  </si>
  <si>
    <t>https://www.instagram.com/p/DT-ulI8jMlN/?img_index=1</t>
  </si>
  <si>
    <t>Gibson Les Paul Standard '50s TSB 2022</t>
  </si>
  <si>
    <t>https://www.instagram.com/p/DUT9k_Hk0_y/?img_index=1</t>
  </si>
  <si>
    <t>Music Man JP6 John Petrucci BFR 2007</t>
  </si>
  <si>
    <t>Meris Midi con cable</t>
  </si>
  <si>
    <t>Meris Preset switch con cable</t>
  </si>
  <si>
    <t>Pod HD y pedalera</t>
  </si>
  <si>
    <t>AKG D112</t>
  </si>
  <si>
    <t xml:space="preserve">Audio Technica AT2020 </t>
  </si>
  <si>
    <t>Shure SM58</t>
  </si>
  <si>
    <t>https://www.instagram.com/p/DVwQq0JDx_Z/?img_index=1</t>
  </si>
  <si>
    <t>Shure SM57</t>
  </si>
  <si>
    <t>Kawai MP7SE Stange Piano</t>
  </si>
  <si>
    <t>https://www.instagram.com/p/DV13P4AkT6Z/?img_index=1</t>
  </si>
  <si>
    <t>Egnater Rebel 30</t>
  </si>
  <si>
    <t>https://www.instagram.com/p/DV69nekgitH/?img_index=1</t>
  </si>
  <si>
    <t xml:space="preserve">Tc Electronic Nova System </t>
  </si>
  <si>
    <t>Eagle Broadcast amp de auriculares</t>
  </si>
  <si>
    <t>Behringer EQ700</t>
  </si>
  <si>
    <t xml:space="preserve">Cabezal Marshall 1987X </t>
  </si>
  <si>
    <t>Carca</t>
  </si>
  <si>
    <t xml:space="preserve">2 Caja Marshall 1960AX </t>
  </si>
  <si>
    <t>Cabezal Marshall MA100H</t>
  </si>
  <si>
    <t>Squier Stratocaster Standard</t>
  </si>
  <si>
    <t>Morley Volume Phaser</t>
  </si>
  <si>
    <t>Shur Shiba Drive</t>
  </si>
  <si>
    <t>Data Corrupter Earthquaker devices</t>
  </si>
  <si>
    <t xml:space="preserve">Arpanoid EartQuaker devices </t>
  </si>
  <si>
    <t>Rainbow Machine EarthQuaker Devices</t>
  </si>
  <si>
    <t>https://www.instagram.com/p/DWWq2alj5bv/?img_index=6</t>
  </si>
  <si>
    <t>Cabezal Vintage Electric New Twin + Caja 2x12 Celestion G12T-75</t>
  </si>
  <si>
    <t>Lean</t>
  </si>
  <si>
    <t>https://www.instagram.com/p/DWZMcQvF3ur/?img_index=6</t>
  </si>
  <si>
    <t>Vintage V100 Gold Top</t>
  </si>
  <si>
    <t>Fede Putaro</t>
  </si>
  <si>
    <t>https://www.instagram.com/p/DWcg4qCEaR2/?img_index=6</t>
  </si>
  <si>
    <t xml:space="preserve"> AF75 Artcore </t>
  </si>
  <si>
    <t>Ale Chamma</t>
  </si>
  <si>
    <t>https://www.instagram.com/p/DWkMCpQia2k/?img_index=6</t>
  </si>
  <si>
    <t>Pod Go Line 6</t>
  </si>
  <si>
    <t>Mic SP B1</t>
  </si>
  <si>
    <t>Presonus Central Station</t>
  </si>
  <si>
    <t>Kevin H</t>
  </si>
  <si>
    <t>Electro Harmonix Voice Box Harmony Machine and vocoder</t>
  </si>
  <si>
    <t>Squier Telecaster Thinline</t>
  </si>
  <si>
    <t>Sequential Prophet Rev2</t>
  </si>
  <si>
    <t>Rivera Bonehead + Caja 4x12 V30</t>
  </si>
  <si>
    <t>PRS SE Silver Sky. Dragon Fruit</t>
  </si>
  <si>
    <t>Hugo W</t>
  </si>
  <si>
    <t>Mayones Regius Pro</t>
  </si>
  <si>
    <t>Jackson American Series Virtuoso HT</t>
  </si>
  <si>
    <t>Bateria Electronica Roland TD-25</t>
  </si>
  <si>
    <t>Fender Jazz Bass MIM</t>
  </si>
  <si>
    <t>Fender Hot Rod Deville</t>
  </si>
  <si>
    <t>Gibson Les Paul Studio Heritage Cherry Sunburst 2024</t>
  </si>
  <si>
    <t>Jay Turser Stratocaster Silver</t>
  </si>
  <si>
    <t>Yamaha MX61 Sintetizador</t>
  </si>
  <si>
    <t>Yamaha MG124CX</t>
  </si>
  <si>
    <t>Yamaha MG102C</t>
  </si>
  <si>
    <t>Caja Bogner Uberkab 4x12</t>
  </si>
  <si>
    <t>Marshall 1960A</t>
  </si>
  <si>
    <t>Caja Dime D412ST</t>
  </si>
  <si>
    <t>Gibson ES-335 Cherry 2011</t>
  </si>
  <si>
    <t>Hoffmann Berlin Upright Piano</t>
  </si>
  <si>
    <t>Jerry Jones Longhorn Bass USA</t>
  </si>
  <si>
    <t>Yamaha CS-5 Sintetizador analogico</t>
  </si>
  <si>
    <t>Dangerous D-Box</t>
  </si>
  <si>
    <t>https://www.instagram.com/p/DYDDtkNDiTC/?img_index=1</t>
  </si>
  <si>
    <t>Preamp JoeMeek TwinQ</t>
  </si>
  <si>
    <t>Horacio Castro</t>
  </si>
  <si>
    <t>Interfaz</t>
  </si>
  <si>
    <t>Antelope Orion 32+ Gen2</t>
  </si>
  <si>
    <t>AKG C214</t>
  </si>
  <si>
    <t>Foteado</t>
  </si>
  <si>
    <t>Audix I5</t>
  </si>
  <si>
    <t>Warm Audio WA87 (x2u)</t>
  </si>
  <si>
    <t>Auris</t>
  </si>
  <si>
    <t>Sennheiser HD280Pro</t>
  </si>
  <si>
    <t>Monitores</t>
  </si>
  <si>
    <t>Eve Audio SC205</t>
  </si>
  <si>
    <t>Edifier R1000T4</t>
  </si>
  <si>
    <t>Mackie Big Knob Studio 3x2</t>
  </si>
  <si>
    <t>Bateria Yamaha Rock Tour Custom</t>
  </si>
  <si>
    <t>Publicada</t>
  </si>
  <si>
    <t>Redoblante Pearl Ian Paice</t>
  </si>
  <si>
    <t>Fierros</t>
  </si>
  <si>
    <t>Tama Iron Cobra HP200</t>
  </si>
  <si>
    <t>Tama Iron Cobra HH205</t>
  </si>
  <si>
    <t>Tama HC63BW</t>
  </si>
  <si>
    <t>Mapex. S-600</t>
  </si>
  <si>
    <t>Yamaha SC745</t>
  </si>
  <si>
    <t>Sabian HHX 16" Complex</t>
  </si>
  <si>
    <t>Stagg Genghis. GENG-HM14R</t>
  </si>
  <si>
    <t>Cort Z40</t>
  </si>
  <si>
    <t>Kemper Profiler Head</t>
  </si>
  <si>
    <t>Amp</t>
  </si>
  <si>
    <t>Marshall 412 DM Signature</t>
  </si>
  <si>
    <t>Marshall Valvestate 80V</t>
  </si>
  <si>
    <t>Potencia y eq</t>
  </si>
  <si>
    <t>Seymour Duncan Power Stage 170</t>
  </si>
  <si>
    <t>Pedal</t>
  </si>
  <si>
    <t>Ibanez TS808</t>
  </si>
  <si>
    <t xml:space="preserve">Boss MT-2 Metal Zone </t>
  </si>
  <si>
    <t>Korg M49 MIDI</t>
  </si>
  <si>
    <t>Caja Directa</t>
  </si>
  <si>
    <t>Pasiva 1 canal</t>
  </si>
  <si>
    <t>Whirlwind IMP-2</t>
  </si>
  <si>
    <t>Hugel DIB-100</t>
  </si>
  <si>
    <t>Whirlwind IMP Pad atenuador de señal</t>
  </si>
  <si>
    <t>Mixer Analog</t>
  </si>
  <si>
    <t>Behringer Eurorack UB1202</t>
  </si>
  <si>
    <t>Behringer HA400 potencia de auris</t>
  </si>
  <si>
    <t>Patchera</t>
  </si>
  <si>
    <t>Tascam Patch Bay PB 32P</t>
  </si>
  <si>
    <t>Pantalla</t>
  </si>
  <si>
    <t>Takstar PS1 antipop</t>
  </si>
  <si>
    <t>Shockmount</t>
  </si>
  <si>
    <t>Takstar SH100</t>
  </si>
  <si>
    <t>Pies</t>
  </si>
  <si>
    <t>Stagg MIS-1024BK Pie de micrófono tipo boom largo- altura de 103 a 167 cm - brazo de 36 a 74 cm(x3u)</t>
  </si>
  <si>
    <t>Stagg MIS-0822BK</t>
  </si>
  <si>
    <t>Samson MK10</t>
  </si>
  <si>
    <t xml:space="preserve">MXP Tipo boom </t>
  </si>
  <si>
    <t>S/M 1 pie corto de 3 patas</t>
  </si>
  <si>
    <t>VENTAS</t>
  </si>
  <si>
    <t>Historias</t>
  </si>
  <si>
    <t>Dia</t>
  </si>
  <si>
    <t>Título</t>
  </si>
  <si>
    <t>Precio venta dls</t>
  </si>
  <si>
    <t>% de comision</t>
  </si>
  <si>
    <t>Total comisión FUZZ</t>
  </si>
  <si>
    <t>Mes</t>
  </si>
  <si>
    <t>Com Kar</t>
  </si>
  <si>
    <t>Com Lean</t>
  </si>
  <si>
    <t>Com Fuzz</t>
  </si>
  <si>
    <t>Bajo Fender Mustang</t>
  </si>
  <si>
    <t>ENERO</t>
  </si>
  <si>
    <t>Viola Caipiria Xadrez</t>
  </si>
  <si>
    <t>tr</t>
  </si>
  <si>
    <t>Bandeja Technics</t>
  </si>
  <si>
    <t>ef</t>
  </si>
  <si>
    <t>Epiphone Riviera</t>
  </si>
  <si>
    <t>Vox ac 15 + Caja</t>
  </si>
  <si>
    <t xml:space="preserve">Ashdown </t>
  </si>
  <si>
    <t xml:space="preserve">Premier </t>
  </si>
  <si>
    <t>Tr</t>
  </si>
  <si>
    <t>Furch</t>
  </si>
  <si>
    <t>Fernandes Stratocaster R8</t>
  </si>
  <si>
    <t>Beta 52</t>
  </si>
  <si>
    <t xml:space="preserve">Ibanez GB10 </t>
  </si>
  <si>
    <t>UAD Colomer 4-710</t>
  </si>
  <si>
    <t xml:space="preserve">Kemper </t>
  </si>
  <si>
    <t>Estuche Skb 2 unidades</t>
  </si>
  <si>
    <t xml:space="preserve">Permuta Charvel </t>
  </si>
  <si>
    <t>TOTAL</t>
  </si>
  <si>
    <t>Ibanez Pat Metheny PM20</t>
  </si>
  <si>
    <t>FEBRERO</t>
  </si>
  <si>
    <t>Gator Case Rack 4 u</t>
  </si>
  <si>
    <t>Gibson SG Maestro Vibrola</t>
  </si>
  <si>
    <t>Piano Bluthner Grand Model</t>
  </si>
  <si>
    <t>Pedal June-60</t>
  </si>
  <si>
    <t>Polytone Minibrute</t>
  </si>
  <si>
    <t>Steinberg Synapse</t>
  </si>
  <si>
    <t xml:space="preserve">Neutrik Patch </t>
  </si>
  <si>
    <t>Rhodes Suitcase 73</t>
  </si>
  <si>
    <t>Fender Jazzmaster</t>
  </si>
  <si>
    <t>MARZO</t>
  </si>
  <si>
    <t>Vox AC4</t>
  </si>
  <si>
    <t>D'angelico Excel</t>
  </si>
  <si>
    <t>Epiphone Dot Ebony</t>
  </si>
  <si>
    <t>Gretsch Electromatic 5122</t>
  </si>
  <si>
    <t>Bajo EB-0</t>
  </si>
  <si>
    <t>JCM 900 SL- X 50w</t>
  </si>
  <si>
    <t>Epiphone dot</t>
  </si>
  <si>
    <t>Caja Gallien krueger</t>
  </si>
  <si>
    <t>Peavey Bandit</t>
  </si>
  <si>
    <t>JCM 900 SL-X 100 W CAJA MARSHALL</t>
  </si>
  <si>
    <t>EPIPHONE EJ-200</t>
  </si>
  <si>
    <t>AKG C1000S</t>
  </si>
  <si>
    <t>TC Helicon Voicelive</t>
  </si>
  <si>
    <t xml:space="preserve">Knagss </t>
  </si>
  <si>
    <t>Yamaha Hs-7</t>
  </si>
  <si>
    <t>Ibanez premium RG950</t>
  </si>
  <si>
    <t>ABRIL</t>
  </si>
  <si>
    <t>Mic Shure SM57</t>
  </si>
  <si>
    <t>eft</t>
  </si>
  <si>
    <t>Gibson Les Paul Standard 1992</t>
  </si>
  <si>
    <t>Eft</t>
  </si>
  <si>
    <t>Blues Deville</t>
  </si>
  <si>
    <t xml:space="preserve">Epi Lucille </t>
  </si>
  <si>
    <t>MXR Talk Box</t>
  </si>
  <si>
    <t>Ibanez Jem Steve Vai</t>
  </si>
  <si>
    <t xml:space="preserve">Strandberg Boden </t>
  </si>
  <si>
    <t>Jaguar Johnny Marr</t>
  </si>
  <si>
    <t>PRS Semihollow</t>
  </si>
  <si>
    <t>Fractal AX8</t>
  </si>
  <si>
    <t>Marshall JVM</t>
  </si>
  <si>
    <t>Lexicon</t>
  </si>
  <si>
    <t>Audix</t>
  </si>
  <si>
    <t xml:space="preserve">Ovie </t>
  </si>
  <si>
    <t>Gibson SG Anniversary</t>
  </si>
  <si>
    <t>Gibson SG Reedicion 61</t>
  </si>
  <si>
    <t xml:space="preserve">Epiphone Sheraton </t>
  </si>
  <si>
    <t>Fender Blues DeVille</t>
  </si>
  <si>
    <t xml:space="preserve">Headrush </t>
  </si>
  <si>
    <t xml:space="preserve">Pickup SD </t>
  </si>
  <si>
    <t>Helicon Voicetone</t>
  </si>
  <si>
    <t>Gibson SG 2016 Cherry</t>
  </si>
  <si>
    <t>Piano vertical</t>
  </si>
  <si>
    <t>Caja Bogner</t>
  </si>
  <si>
    <t>Audient iD 44</t>
  </si>
  <si>
    <t>Pedal Boss TR-2</t>
  </si>
  <si>
    <t>Focal Alpha 80</t>
  </si>
  <si>
    <t>Caja VHT</t>
  </si>
  <si>
    <t xml:space="preserve">Stam audio compresor </t>
  </si>
  <si>
    <t>Strymon Capistan</t>
  </si>
  <si>
    <t>SUPERSONIC + CAJA 410</t>
  </si>
  <si>
    <t>MOVIMIENTOS DE CAJA</t>
  </si>
  <si>
    <t>En concepto de</t>
  </si>
  <si>
    <t>Monto total</t>
  </si>
  <si>
    <t>Alquiler</t>
  </si>
  <si>
    <t>Luz</t>
  </si>
  <si>
    <t>Agua</t>
  </si>
  <si>
    <t>Alarma</t>
  </si>
  <si>
    <t>Limpieza</t>
  </si>
  <si>
    <t>Internet</t>
  </si>
  <si>
    <t>PENDIENTES DE PUBLICAR</t>
  </si>
  <si>
    <t>Fecha</t>
  </si>
  <si>
    <t>Cliente</t>
  </si>
  <si>
    <t>Producto</t>
  </si>
  <si>
    <t>Precio FUZZ</t>
  </si>
  <si>
    <t>Texto</t>
  </si>
  <si>
    <t>Fotos</t>
  </si>
  <si>
    <t>Anita</t>
  </si>
  <si>
    <t>Cabezal de bajo Gallien Krueger 700RB Mark II</t>
  </si>
  <si>
    <t>Caja Gallien Krueger 410 MBE 800w</t>
  </si>
  <si>
    <t>Fender Frontman 212R</t>
  </si>
  <si>
    <t>Monitores Wharfedale Pro Kinetic 12M + consola Lexsen LXA-601</t>
  </si>
  <si>
    <t>Eurolight BLM420</t>
  </si>
  <si>
    <t>Lexicom MX200 Dual Reverb Effects Processor</t>
  </si>
  <si>
    <t>DMX Operator 1216</t>
  </si>
  <si>
    <t>Consola Mackie 802-VLZ3</t>
  </si>
  <si>
    <t>DBX 215s</t>
  </si>
  <si>
    <t>Set de fierros</t>
  </si>
  <si>
    <t>Paiste 101 Brass</t>
  </si>
  <si>
    <t>Pie de monitor (x4)</t>
  </si>
  <si>
    <t>Bajo Cort B4</t>
  </si>
  <si>
    <t>TC Helicon Synth</t>
  </si>
  <si>
    <t>Korg SR Wavestation</t>
  </si>
  <si>
    <t>Novation Station</t>
  </si>
  <si>
    <t>Akai Sgo1v</t>
  </si>
  <si>
    <t>Tascam Portastudio</t>
  </si>
  <si>
    <t>Lto s8 Mixing Console</t>
  </si>
  <si>
    <t>Emma</t>
  </si>
  <si>
    <t>Squier Stratocaster</t>
  </si>
  <si>
    <t xml:space="preserve">Molokai electroacustica </t>
  </si>
  <si>
    <t>Parches</t>
  </si>
  <si>
    <t>Posteo set de fierros, accesorios, parches, etc?</t>
  </si>
  <si>
    <t>L5 Custom Morada</t>
  </si>
  <si>
    <t>Ibanez Prestige Marron</t>
  </si>
  <si>
    <t xml:space="preserve">Dan Smith Era Roja (Donde esta?)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</si>
</sst>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/m"/>
  </numFmts>
  <fonts count="31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sz val="11.0"/>
      <color rgb="FF0000FF"/>
      <name val="Arial"/>
    </font>
    <font>
      <color theme="1"/>
      <name val="Arial"/>
      <scheme val="minor"/>
    </font>
    <font>
      <u/>
      <sz val="11.0"/>
      <color rgb="FF0000FF"/>
      <name val="Arial"/>
    </font>
    <font>
      <sz val="11.0"/>
      <color rgb="FF000000"/>
      <name val="-apple-system"/>
    </font>
    <font>
      <u/>
      <sz val="11.0"/>
      <color rgb="FF0000FF"/>
      <name val="Arial"/>
    </font>
    <font>
      <sz val="11.0"/>
      <color rgb="FF000000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00"/>
      <name val="Arial"/>
    </font>
    <font>
      <u/>
      <sz val="11.0"/>
      <color rgb="FF0000FF"/>
      <name val="Arial"/>
    </font>
    <font>
      <b/>
      <sz val="13.0"/>
      <color theme="1"/>
      <name val="Arial"/>
    </font>
    <font/>
    <font>
      <b/>
      <sz val="10.0"/>
      <color theme="1"/>
      <name val="Arial"/>
    </font>
    <font>
      <b/>
      <color theme="1"/>
      <name val="Arial"/>
      <scheme val="minor"/>
    </font>
    <font>
      <b/>
      <sz val="14.0"/>
      <color theme="1"/>
      <name val="Arial"/>
    </font>
    <font>
      <sz val="10.0"/>
      <color rgb="FF999999"/>
      <name val="Arial"/>
      <scheme val="minor"/>
    </font>
    <font>
      <sz val="10.0"/>
      <color theme="1"/>
      <name val="Arial"/>
      <scheme val="minor"/>
    </font>
    <font>
      <b/>
      <sz val="11.0"/>
      <color theme="1"/>
      <name val="Arial"/>
      <scheme val="minor"/>
    </font>
    <font>
      <b/>
      <sz val="20.0"/>
      <color theme="1"/>
      <name val="Arial"/>
      <scheme val="minor"/>
    </font>
    <font>
      <sz val="11.0"/>
      <color theme="1"/>
      <name val="Arial"/>
      <scheme val="minor"/>
    </font>
    <font>
      <sz val="10.0"/>
      <color rgb="FF999999"/>
      <name val="Arial"/>
    </font>
    <font>
      <sz val="10.0"/>
      <color theme="1"/>
      <name val="Arial"/>
    </font>
    <font>
      <sz val="11.0"/>
      <color rgb="FF1F1F1F"/>
      <name val="Arial"/>
    </font>
    <font>
      <color theme="1"/>
      <name val="Arial"/>
    </font>
    <font>
      <sz val="12.0"/>
      <color theme="1"/>
      <name val="Arial"/>
      <scheme val="minor"/>
    </font>
    <font>
      <b/>
      <sz val="12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27BA0"/>
        <bgColor rgb="FFC27BA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E69138"/>
        <bgColor rgb="FFE69138"/>
      </patternFill>
    </fill>
    <fill>
      <patternFill patternType="solid">
        <fgColor rgb="FFFF9900"/>
        <bgColor rgb="FFFF9900"/>
      </patternFill>
    </fill>
    <fill>
      <patternFill patternType="solid">
        <fgColor rgb="FFB45F06"/>
        <bgColor rgb="FFB45F06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49" applyAlignment="1" applyFont="1" applyNumberFormat="1"/>
  </cellStyleXfs>
  <cellXfs count="215">
    <xf borderId="0" fillId="0" fontId="0" numFmtId="49" xfId="0" applyAlignment="1" applyFont="1" applyNumberForma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3" xfId="0" applyAlignment="1" applyBorder="1" applyFont="1" applyNumberFormat="1">
      <alignment horizontal="center" readingOrder="0" shrinkToFit="0" vertical="center" wrapText="1"/>
    </xf>
    <xf borderId="1" fillId="0" fontId="1" numFmtId="3" xfId="0" applyAlignment="1" applyBorder="1" applyFont="1" applyNumberFormat="1">
      <alignment horizontal="righ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3" xfId="0" applyAlignment="1" applyFont="1" applyNumberFormat="1">
      <alignment horizontal="right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readingOrder="0" shrinkToFit="0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3" xfId="0" applyAlignment="1" applyFont="1" applyNumberFormat="1">
      <alignment horizontal="right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shrinkToFit="0" wrapText="0"/>
    </xf>
    <xf borderId="0" fillId="0" fontId="4" numFmtId="0" xfId="0" applyFont="1"/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horizontal="right"/>
    </xf>
    <xf borderId="0" fillId="0" fontId="6" numFmtId="0" xfId="0" applyAlignment="1" applyFont="1">
      <alignment horizontal="left" readingOrder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right"/>
    </xf>
    <xf borderId="0" fillId="0" fontId="7" numFmtId="0" xfId="0" applyAlignment="1" applyFont="1">
      <alignment readingOrder="0" shrinkToFit="0" wrapText="0"/>
    </xf>
    <xf borderId="0" fillId="0" fontId="6" numFmtId="0" xfId="0" applyAlignment="1" applyFont="1">
      <alignment horizontal="left" readingOrder="0"/>
    </xf>
    <xf borderId="0" fillId="2" fontId="2" numFmtId="0" xfId="0" applyAlignment="1" applyFill="1" applyFont="1">
      <alignment readingOrder="0"/>
    </xf>
    <xf borderId="0" fillId="3" fontId="2" numFmtId="0" xfId="0" applyFill="1" applyFont="1"/>
    <xf borderId="0" fillId="3" fontId="2" numFmtId="0" xfId="0" applyAlignment="1" applyFont="1">
      <alignment readingOrder="0"/>
    </xf>
    <xf borderId="0" fillId="3" fontId="8" numFmtId="0" xfId="0" applyAlignment="1" applyFont="1">
      <alignment readingOrder="0"/>
    </xf>
    <xf borderId="0" fillId="3" fontId="2" numFmtId="3" xfId="0" applyAlignment="1" applyFont="1" applyNumberFormat="1">
      <alignment readingOrder="0"/>
    </xf>
    <xf borderId="0" fillId="3" fontId="2" numFmtId="3" xfId="0" applyAlignment="1" applyFont="1" applyNumberFormat="1">
      <alignment horizontal="right"/>
    </xf>
    <xf borderId="0" fillId="3" fontId="2" numFmtId="0" xfId="0" applyAlignment="1" applyFont="1">
      <alignment horizontal="right" readingOrder="0"/>
    </xf>
    <xf borderId="0" fillId="3" fontId="2" numFmtId="0" xfId="0" applyAlignment="1" applyFont="1">
      <alignment shrinkToFit="0" wrapText="0"/>
    </xf>
    <xf borderId="0" fillId="3" fontId="4" numFmtId="0" xfId="0" applyFont="1"/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2" numFmtId="3" xfId="0" applyAlignment="1" applyFont="1" applyNumberFormat="1">
      <alignment readingOrder="0"/>
    </xf>
    <xf borderId="0" fillId="4" fontId="2" numFmtId="3" xfId="0" applyAlignment="1" applyFont="1" applyNumberFormat="1">
      <alignment horizontal="right"/>
    </xf>
    <xf borderId="0" fillId="4" fontId="2" numFmtId="0" xfId="0" applyAlignment="1" applyFont="1">
      <alignment horizontal="right"/>
    </xf>
    <xf borderId="0" fillId="4" fontId="9" numFmtId="0" xfId="0" applyAlignment="1" applyFont="1">
      <alignment readingOrder="0" shrinkToFit="0" wrapText="0"/>
    </xf>
    <xf borderId="0" fillId="4" fontId="4" numFmtId="0" xfId="0" applyFont="1"/>
    <xf borderId="0" fillId="3" fontId="10" numFmtId="0" xfId="0" applyAlignment="1" applyFont="1">
      <alignment readingOrder="0" shrinkToFit="0" wrapText="0"/>
    </xf>
    <xf borderId="0" fillId="4" fontId="2" numFmtId="0" xfId="0" applyAlignment="1" applyFont="1">
      <alignment horizontal="right" readingOrder="0"/>
    </xf>
    <xf borderId="0" fillId="3" fontId="11" numFmtId="0" xfId="0" applyAlignment="1" applyFont="1">
      <alignment readingOrder="0" shrinkToFit="0" wrapText="0"/>
    </xf>
    <xf borderId="0" fillId="4" fontId="2" numFmtId="0" xfId="0" applyAlignment="1" applyFont="1">
      <alignment shrinkToFit="0" wrapText="0"/>
    </xf>
    <xf borderId="0" fillId="3" fontId="4" numFmtId="0" xfId="0" applyAlignment="1" applyFont="1">
      <alignment readingOrder="0"/>
    </xf>
    <xf borderId="0" fillId="3" fontId="8" numFmtId="0" xfId="0" applyAlignment="1" applyFont="1">
      <alignment horizontal="left" readingOrder="0"/>
    </xf>
    <xf borderId="0" fillId="3" fontId="2" numFmtId="0" xfId="0" applyAlignment="1" applyFont="1">
      <alignment horizontal="right"/>
    </xf>
    <xf borderId="0" fillId="4" fontId="2" numFmtId="0" xfId="0" applyAlignment="1" applyFont="1">
      <alignment readingOrder="0" shrinkToFit="0" wrapText="0"/>
    </xf>
    <xf borderId="0" fillId="4" fontId="8" numFmtId="0" xfId="0" applyAlignment="1" applyFont="1">
      <alignment horizontal="left" readingOrder="0"/>
    </xf>
    <xf borderId="0" fillId="4" fontId="6" numFmtId="0" xfId="0" applyAlignment="1" applyFont="1">
      <alignment horizontal="left" readingOrder="0"/>
    </xf>
    <xf borderId="0" fillId="4" fontId="4" numFmtId="0" xfId="0" applyAlignment="1" applyFont="1">
      <alignment readingOrder="0"/>
    </xf>
    <xf borderId="0" fillId="4" fontId="12" numFmtId="0" xfId="0" applyAlignment="1" applyFont="1">
      <alignment readingOrder="0" shrinkToFit="0" wrapText="0"/>
    </xf>
    <xf borderId="0" fillId="5" fontId="2" numFmtId="0" xfId="0" applyAlignment="1" applyFill="1" applyFont="1">
      <alignment readingOrder="0"/>
    </xf>
    <xf borderId="0" fillId="5" fontId="2" numFmtId="3" xfId="0" applyAlignment="1" applyFont="1" applyNumberFormat="1">
      <alignment readingOrder="0"/>
    </xf>
    <xf borderId="0" fillId="5" fontId="2" numFmtId="3" xfId="0" applyAlignment="1" applyFont="1" applyNumberFormat="1">
      <alignment horizontal="right"/>
    </xf>
    <xf borderId="0" fillId="5" fontId="2" numFmtId="0" xfId="0" applyAlignment="1" applyFont="1">
      <alignment horizontal="right" readingOrder="0"/>
    </xf>
    <xf borderId="0" fillId="3" fontId="8" numFmtId="0" xfId="0" applyAlignment="1" applyFont="1">
      <alignment readingOrder="0" shrinkToFit="0" wrapText="0"/>
    </xf>
    <xf borderId="0" fillId="5" fontId="2" numFmtId="0" xfId="0" applyFont="1"/>
    <xf borderId="0" fillId="5" fontId="2" numFmtId="0" xfId="0" applyAlignment="1" applyFont="1">
      <alignment horizontal="right"/>
    </xf>
    <xf borderId="0" fillId="0" fontId="13" numFmtId="0" xfId="0" applyAlignment="1" applyFont="1">
      <alignment readingOrder="0"/>
    </xf>
    <xf borderId="0" fillId="0" fontId="8" numFmtId="3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6" fontId="2" numFmtId="0" xfId="0" applyAlignment="1" applyFill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8" numFmtId="0" xfId="0" applyAlignment="1" applyFont="1">
      <alignment horizontal="left" readingOrder="0"/>
    </xf>
    <xf borderId="0" fillId="6" fontId="8" numFmtId="0" xfId="0" applyAlignment="1" applyFont="1">
      <alignment horizontal="left" readingOrder="0"/>
    </xf>
    <xf borderId="0" fillId="6" fontId="2" numFmtId="0" xfId="0" applyFont="1"/>
    <xf borderId="0" fillId="0" fontId="14" numFmtId="0" xfId="0" applyAlignment="1" applyFont="1">
      <alignment readingOrder="0" shrinkToFit="0" wrapText="0"/>
    </xf>
    <xf borderId="0" fillId="0" fontId="8" numFmtId="0" xfId="0" applyAlignment="1" applyFont="1">
      <alignment readingOrder="0"/>
    </xf>
    <xf borderId="0" fillId="0" fontId="2" numFmtId="3" xfId="0" applyFont="1" applyNumberFormat="1"/>
    <xf borderId="0" fillId="0" fontId="8" numFmtId="3" xfId="0" applyAlignment="1" applyFont="1" applyNumberFormat="1">
      <alignment horizontal="right" readingOrder="0"/>
    </xf>
    <xf borderId="0" fillId="7" fontId="2" numFmtId="0" xfId="0" applyAlignment="1" applyFill="1" applyFont="1">
      <alignment readingOrder="0"/>
    </xf>
    <xf borderId="0" fillId="8" fontId="2" numFmtId="0" xfId="0" applyFill="1" applyFont="1"/>
    <xf borderId="0" fillId="8" fontId="2" numFmtId="0" xfId="0" applyAlignment="1" applyFont="1">
      <alignment readingOrder="0"/>
    </xf>
    <xf borderId="0" fillId="8" fontId="2" numFmtId="3" xfId="0" applyAlignment="1" applyFont="1" applyNumberFormat="1">
      <alignment readingOrder="0"/>
    </xf>
    <xf borderId="0" fillId="8" fontId="2" numFmtId="3" xfId="0" applyAlignment="1" applyFont="1" applyNumberFormat="1">
      <alignment horizontal="right"/>
    </xf>
    <xf borderId="0" fillId="8" fontId="2" numFmtId="0" xfId="0" applyAlignment="1" applyFont="1">
      <alignment horizontal="right" readingOrder="0"/>
    </xf>
    <xf borderId="0" fillId="0" fontId="2" numFmtId="0" xfId="0" applyAlignment="1" applyFont="1">
      <alignment readingOrder="0" shrinkToFit="0" wrapText="0"/>
    </xf>
    <xf borderId="6" fillId="9" fontId="15" numFmtId="0" xfId="0" applyAlignment="1" applyBorder="1" applyFill="1" applyFont="1">
      <alignment horizontal="center" readingOrder="0" shrinkToFit="0" vertical="center" wrapText="1"/>
    </xf>
    <xf borderId="7" fillId="0" fontId="16" numFmtId="0" xfId="0" applyBorder="1" applyFont="1"/>
    <xf borderId="8" fillId="0" fontId="16" numFmtId="0" xfId="0" applyBorder="1" applyFont="1"/>
    <xf borderId="9" fillId="10" fontId="17" numFmtId="0" xfId="0" applyAlignment="1" applyBorder="1" applyFill="1" applyFont="1">
      <alignment horizontal="center" readingOrder="0" shrinkToFit="0" vertical="center" wrapText="1"/>
    </xf>
    <xf borderId="0" fillId="10" fontId="17" numFmtId="0" xfId="0" applyAlignment="1" applyFont="1">
      <alignment horizontal="center" readingOrder="0" shrinkToFit="0" vertical="center" wrapText="1"/>
    </xf>
    <xf borderId="0" fillId="10" fontId="17" numFmtId="0" xfId="0" applyAlignment="1" applyFont="1">
      <alignment horizontal="center" shrinkToFit="0" vertical="center" wrapText="1"/>
    </xf>
    <xf borderId="0" fillId="10" fontId="17" numFmtId="0" xfId="0" applyAlignment="1" applyFont="1">
      <alignment horizontal="left" readingOrder="0" shrinkToFit="0" vertical="center" wrapText="1"/>
    </xf>
    <xf borderId="0" fillId="10" fontId="18" numFmtId="0" xfId="0" applyAlignment="1" applyFont="1">
      <alignment horizontal="center" readingOrder="0" shrinkToFit="0" vertical="center" wrapText="0"/>
    </xf>
    <xf borderId="0" fillId="10" fontId="18" numFmtId="0" xfId="0" applyAlignment="1" applyFont="1">
      <alignment horizontal="center" readingOrder="0" shrinkToFit="0" vertical="center" wrapText="1"/>
    </xf>
    <xf borderId="0" fillId="10" fontId="18" numFmtId="0" xfId="0" applyAlignment="1" applyFont="1">
      <alignment horizontal="center" readingOrder="0" vertical="center"/>
    </xf>
    <xf borderId="10" fillId="10" fontId="18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left"/>
    </xf>
    <xf borderId="0" fillId="0" fontId="19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horizontal="left" shrinkToFit="0" vertical="center" wrapText="0"/>
    </xf>
    <xf borderId="0" fillId="0" fontId="21" numFmtId="0" xfId="0" applyAlignment="1" applyFont="1">
      <alignment horizontal="right" readingOrder="0" shrinkToFit="0" vertical="center" wrapText="0"/>
    </xf>
    <xf borderId="0" fillId="0" fontId="22" numFmtId="0" xfId="0" applyAlignment="1" applyFont="1">
      <alignment horizontal="center" readingOrder="0" shrinkToFit="0" vertical="center" wrapText="0"/>
    </xf>
    <xf borderId="0" fillId="0" fontId="22" numFmtId="4" xfId="0" applyAlignment="1" applyFont="1" applyNumberFormat="1">
      <alignment horizontal="left" readingOrder="0" shrinkToFit="0" vertical="center" wrapText="0"/>
    </xf>
    <xf borderId="0" fillId="0" fontId="22" numFmtId="10" xfId="0" applyAlignment="1" applyFont="1" applyNumberFormat="1">
      <alignment horizontal="left" readingOrder="0"/>
    </xf>
    <xf borderId="0" fillId="0" fontId="22" numFmtId="4" xfId="0" applyFont="1" applyNumberFormat="1"/>
    <xf borderId="0" fillId="0" fontId="22" numFmtId="0" xfId="0" applyAlignment="1" applyFont="1">
      <alignment horizontal="center" readingOrder="0" shrinkToFit="0" textRotation="180" vertical="center" wrapText="0"/>
    </xf>
    <xf borderId="0" fillId="0" fontId="22" numFmtId="0" xfId="0" applyAlignment="1" applyFont="1">
      <alignment horizontal="right" readingOrder="0"/>
    </xf>
    <xf borderId="0" fillId="0" fontId="22" numFmtId="49" xfId="0" applyAlignment="1" applyFont="1" applyNumberFormat="1">
      <alignment horizontal="right"/>
    </xf>
    <xf borderId="0" fillId="0" fontId="22" numFmtId="0" xfId="0" applyAlignment="1" applyFont="1">
      <alignment shrinkToFit="0" wrapText="0"/>
    </xf>
    <xf borderId="11" fillId="11" fontId="23" numFmtId="0" xfId="0" applyAlignment="1" applyBorder="1" applyFill="1" applyFont="1">
      <alignment horizontal="center" readingOrder="0" shrinkToFit="0" vertical="center" wrapText="0"/>
    </xf>
    <xf borderId="12" fillId="0" fontId="16" numFmtId="0" xfId="0" applyBorder="1" applyFont="1"/>
    <xf borderId="13" fillId="0" fontId="16" numFmtId="0" xfId="0" applyBorder="1" applyFont="1"/>
    <xf borderId="0" fillId="0" fontId="21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4" numFmtId="0" xfId="0" applyAlignment="1" applyFont="1">
      <alignment horizontal="left" readingOrder="0"/>
    </xf>
    <xf borderId="0" fillId="4" fontId="24" numFmtId="10" xfId="0" applyAlignment="1" applyFont="1" applyNumberFormat="1">
      <alignment horizontal="left" readingOrder="0"/>
    </xf>
    <xf borderId="0" fillId="4" fontId="24" numFmtId="4" xfId="0" applyFont="1" applyNumberFormat="1"/>
    <xf borderId="0" fillId="4" fontId="24" numFmtId="0" xfId="0" applyAlignment="1" applyFont="1">
      <alignment horizontal="right" readingOrder="0"/>
    </xf>
    <xf borderId="0" fillId="4" fontId="24" numFmtId="49" xfId="0" applyAlignment="1" applyFont="1" applyNumberFormat="1">
      <alignment horizontal="right"/>
    </xf>
    <xf borderId="10" fillId="4" fontId="24" numFmtId="4" xfId="0" applyAlignment="1" applyBorder="1" applyFont="1" applyNumberFormat="1">
      <alignment shrinkToFit="0" wrapText="0"/>
    </xf>
    <xf borderId="0" fillId="0" fontId="21" numFmtId="0" xfId="0" applyFont="1"/>
    <xf borderId="0" fillId="0" fontId="25" numFmtId="0" xfId="0" applyAlignment="1" applyFont="1">
      <alignment horizontal="left" readingOrder="0" shrinkToFit="0" vertical="center" wrapText="0"/>
    </xf>
    <xf borderId="0" fillId="0" fontId="24" numFmtId="0" xfId="0" applyAlignment="1" applyFont="1">
      <alignment horizontal="left" readingOrder="0" shrinkToFit="0" vertical="center" wrapText="0"/>
    </xf>
    <xf borderId="0" fillId="0" fontId="24" numFmtId="4" xfId="0" applyAlignment="1" applyFont="1" applyNumberFormat="1">
      <alignment horizontal="left" readingOrder="0" shrinkToFit="0" vertical="center" wrapText="0"/>
    </xf>
    <xf borderId="11" fillId="6" fontId="21" numFmtId="0" xfId="0" applyBorder="1" applyFont="1"/>
    <xf borderId="12" fillId="6" fontId="21" numFmtId="0" xfId="0" applyBorder="1" applyFont="1"/>
    <xf borderId="12" fillId="6" fontId="22" numFmtId="0" xfId="0" applyAlignment="1" applyBorder="1" applyFont="1">
      <alignment horizontal="center" readingOrder="0"/>
    </xf>
    <xf borderId="12" fillId="6" fontId="22" numFmtId="4" xfId="0" applyAlignment="1" applyBorder="1" applyFont="1" applyNumberFormat="1">
      <alignment horizontal="left" readingOrder="0" shrinkToFit="0" vertical="center" wrapText="0"/>
    </xf>
    <xf borderId="12" fillId="6" fontId="24" numFmtId="10" xfId="0" applyAlignment="1" applyBorder="1" applyFont="1" applyNumberFormat="1">
      <alignment horizontal="left" readingOrder="0"/>
    </xf>
    <xf borderId="12" fillId="6" fontId="22" numFmtId="4" xfId="0" applyBorder="1" applyFont="1" applyNumberFormat="1"/>
    <xf borderId="12" fillId="6" fontId="22" numFmtId="0" xfId="0" applyAlignment="1" applyBorder="1" applyFont="1">
      <alignment horizontal="center" readingOrder="0" textRotation="180" vertical="center"/>
    </xf>
    <xf borderId="12" fillId="6" fontId="22" numFmtId="0" xfId="0" applyAlignment="1" applyBorder="1" applyFont="1">
      <alignment horizontal="right" readingOrder="0"/>
    </xf>
    <xf borderId="12" fillId="6" fontId="22" numFmtId="49" xfId="0" applyAlignment="1" applyBorder="1" applyFont="1" applyNumberFormat="1">
      <alignment horizontal="right"/>
    </xf>
    <xf borderId="13" fillId="6" fontId="22" numFmtId="4" xfId="0" applyAlignment="1" applyBorder="1" applyFont="1" applyNumberFormat="1">
      <alignment shrinkToFit="0" wrapText="0"/>
    </xf>
    <xf borderId="0" fillId="0" fontId="22" numFmtId="0" xfId="0" applyAlignment="1" applyFont="1">
      <alignment horizontal="center" readingOrder="0" textRotation="180" vertical="center"/>
    </xf>
    <xf borderId="0" fillId="0" fontId="26" numFmtId="0" xfId="0" applyAlignment="1" applyFont="1">
      <alignment horizontal="right" readingOrder="0" shrinkToFit="0" vertical="center" wrapText="0"/>
    </xf>
    <xf borderId="0" fillId="0" fontId="24" numFmtId="3" xfId="0" applyAlignment="1" applyFont="1" applyNumberFormat="1">
      <alignment horizontal="left" readingOrder="0" shrinkToFit="0" vertical="center" wrapText="0"/>
    </xf>
    <xf borderId="0" fillId="0" fontId="27" numFmtId="0" xfId="0" applyAlignment="1" applyFont="1">
      <alignment readingOrder="0"/>
    </xf>
    <xf borderId="0" fillId="12" fontId="2" numFmtId="0" xfId="0" applyAlignment="1" applyFill="1" applyFont="1">
      <alignment readingOrder="0"/>
    </xf>
    <xf borderId="0" fillId="13" fontId="2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0" fontId="25" numFmtId="0" xfId="0" applyAlignment="1" applyFont="1">
      <alignment horizontal="left" shrinkToFit="0" vertical="center" wrapText="0"/>
    </xf>
    <xf borderId="0" fillId="0" fontId="26" numFmtId="3" xfId="0" applyAlignment="1" applyFont="1" applyNumberFormat="1">
      <alignment horizontal="left" readingOrder="0" shrinkToFit="0" vertical="center" wrapText="0"/>
    </xf>
    <xf borderId="0" fillId="0" fontId="2" numFmtId="3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horizontal="left" readingOrder="0"/>
    </xf>
    <xf borderId="11" fillId="6" fontId="28" numFmtId="49" xfId="0" applyAlignment="1" applyBorder="1" applyFont="1" applyNumberFormat="1">
      <alignment vertical="bottom"/>
    </xf>
    <xf borderId="12" fillId="6" fontId="28" numFmtId="49" xfId="0" applyAlignment="1" applyBorder="1" applyFont="1" applyNumberFormat="1">
      <alignment vertical="bottom"/>
    </xf>
    <xf borderId="12" fillId="6" fontId="1" numFmtId="49" xfId="0" applyAlignment="1" applyBorder="1" applyFont="1" applyNumberFormat="1">
      <alignment horizontal="center" vertical="bottom"/>
    </xf>
    <xf borderId="12" fillId="6" fontId="1" numFmtId="4" xfId="0" applyBorder="1" applyFont="1" applyNumberFormat="1"/>
    <xf borderId="12" fillId="6" fontId="28" numFmtId="10" xfId="0" applyAlignment="1" applyBorder="1" applyFont="1" applyNumberFormat="1">
      <alignment vertical="bottom"/>
    </xf>
    <xf borderId="12" fillId="6" fontId="1" numFmtId="4" xfId="0" applyAlignment="1" applyBorder="1" applyFont="1" applyNumberFormat="1">
      <alignment horizontal="right" vertical="bottom"/>
    </xf>
    <xf borderId="12" fillId="6" fontId="28" numFmtId="49" xfId="0" applyBorder="1" applyFont="1" applyNumberFormat="1"/>
    <xf borderId="12" fillId="6" fontId="1" numFmtId="49" xfId="0" applyAlignment="1" applyBorder="1" applyFont="1" applyNumberFormat="1">
      <alignment horizontal="right" vertical="bottom"/>
    </xf>
    <xf borderId="13" fillId="6" fontId="1" numFmtId="4" xfId="0" applyAlignment="1" applyBorder="1" applyFont="1" applyNumberFormat="1">
      <alignment horizontal="right" shrinkToFit="0" vertical="bottom" wrapText="0"/>
    </xf>
    <xf borderId="0" fillId="0" fontId="18" numFmtId="0" xfId="0" applyAlignment="1" applyFont="1">
      <alignment horizontal="center" readingOrder="0" textRotation="180" vertical="center"/>
    </xf>
    <xf borderId="0" fillId="3" fontId="4" numFmtId="0" xfId="0" applyAlignment="1" applyFont="1">
      <alignment horizontal="left" readingOrder="0"/>
    </xf>
    <xf borderId="0" fillId="0" fontId="26" numFmtId="0" xfId="0" applyAlignment="1" applyFont="1">
      <alignment horizontal="left" readingOrder="0" shrinkToFit="0" vertical="center" wrapText="0"/>
    </xf>
    <xf borderId="0" fillId="0" fontId="17" numFmtId="0" xfId="0" applyAlignment="1" applyFont="1">
      <alignment shrinkToFit="0" wrapText="0"/>
    </xf>
    <xf borderId="0" fillId="0" fontId="4" numFmtId="9" xfId="0" applyAlignment="1" applyFont="1" applyNumberFormat="1">
      <alignment readingOrder="0"/>
    </xf>
    <xf borderId="0" fillId="0" fontId="26" numFmtId="0" xfId="0" applyFont="1"/>
    <xf borderId="0" fillId="0" fontId="21" numFmtId="0" xfId="0" applyAlignment="1" applyFont="1">
      <alignment readingOrder="0" shrinkToFit="0" wrapText="0"/>
    </xf>
    <xf borderId="0" fillId="0" fontId="17" numFmtId="0" xfId="0" applyAlignment="1" applyFont="1">
      <alignment horizontal="left" readingOrder="0" shrinkToFit="0" vertical="center" wrapText="0"/>
    </xf>
    <xf borderId="0" fillId="0" fontId="17" numFmtId="4" xfId="0" applyAlignment="1" applyFont="1" applyNumberFormat="1">
      <alignment horizontal="left" readingOrder="0" shrinkToFit="0" vertical="center" wrapText="0"/>
    </xf>
    <xf borderId="0" fillId="0" fontId="17" numFmtId="10" xfId="0" applyAlignment="1" applyFont="1" applyNumberFormat="1">
      <alignment horizontal="right" readingOrder="0"/>
    </xf>
    <xf borderId="0" fillId="0" fontId="17" numFmtId="4" xfId="0" applyAlignment="1" applyFont="1" applyNumberFormat="1">
      <alignment horizontal="right" readingOrder="0" shrinkToFit="0" vertical="center" wrapText="0"/>
    </xf>
    <xf borderId="0" fillId="0" fontId="17" numFmtId="0" xfId="0" applyFont="1"/>
    <xf borderId="0" fillId="0" fontId="4" numFmtId="0" xfId="0" applyAlignment="1" applyFont="1">
      <alignment readingOrder="0" shrinkToFit="0" wrapText="1"/>
    </xf>
    <xf borderId="0" fillId="0" fontId="29" numFmtId="0" xfId="0" applyFont="1"/>
    <xf borderId="0" fillId="0" fontId="30" numFmtId="0" xfId="0" applyAlignment="1" applyFont="1">
      <alignment readingOrder="0"/>
    </xf>
    <xf borderId="0" fillId="0" fontId="30" numFmtId="0" xfId="0" applyAlignment="1" applyFont="1">
      <alignment horizontal="left"/>
    </xf>
    <xf borderId="0" fillId="0" fontId="30" numFmtId="0" xfId="0" applyFont="1"/>
    <xf borderId="0" fillId="0" fontId="19" numFmtId="0" xfId="0" applyAlignment="1" applyFont="1">
      <alignment horizontal="left" readingOrder="0" shrinkToFit="0" vertical="center" wrapText="0"/>
    </xf>
    <xf borderId="0" fillId="0" fontId="26" numFmtId="0" xfId="0" applyAlignment="1" applyFont="1">
      <alignment readingOrder="0"/>
    </xf>
    <xf borderId="0" fillId="0" fontId="26" numFmtId="164" xfId="0" applyAlignment="1" applyFont="1" applyNumberFormat="1">
      <alignment horizontal="right" readingOrder="0"/>
    </xf>
    <xf borderId="0" fillId="0" fontId="26" numFmtId="3" xfId="0" applyAlignment="1" applyFont="1" applyNumberFormat="1">
      <alignment horizontal="left" readingOrder="0"/>
    </xf>
    <xf borderId="0" fillId="0" fontId="26" numFmtId="10" xfId="0" applyAlignment="1" applyFont="1" applyNumberFormat="1">
      <alignment horizontal="right" readingOrder="0"/>
    </xf>
    <xf borderId="0" fillId="0" fontId="4" numFmtId="4" xfId="0" applyFont="1" applyNumberFormat="1"/>
    <xf borderId="0" fillId="0" fontId="17" numFmtId="0" xfId="0" applyAlignment="1" applyFont="1">
      <alignment horizontal="center" readingOrder="0" shrinkToFit="0" textRotation="180" vertical="center" wrapText="0"/>
    </xf>
    <xf borderId="0" fillId="0" fontId="26" numFmtId="0" xfId="0" applyAlignment="1" applyFont="1">
      <alignment horizontal="right" readingOrder="0"/>
    </xf>
    <xf borderId="0" fillId="0" fontId="26" numFmtId="0" xfId="0" applyAlignment="1" applyFont="1">
      <alignment shrinkToFit="0" wrapText="0"/>
    </xf>
    <xf borderId="0" fillId="0" fontId="26" numFmtId="0" xfId="0" applyAlignment="1" applyFont="1">
      <alignment horizontal="left" shrinkToFit="0" vertical="center" wrapText="0"/>
    </xf>
    <xf borderId="0" fillId="0" fontId="26" numFmtId="164" xfId="0" applyAlignment="1" applyFont="1" applyNumberFormat="1">
      <alignment horizontal="right" readingOrder="0" shrinkToFit="0" vertical="center" wrapText="0"/>
    </xf>
    <xf borderId="0" fillId="0" fontId="26" numFmtId="165" xfId="0" applyAlignment="1" applyFont="1" applyNumberFormat="1">
      <alignment readingOrder="0"/>
    </xf>
    <xf borderId="0" fillId="0" fontId="26" numFmtId="0" xfId="0" applyAlignment="1" applyFont="1">
      <alignment horizontal="right" shrinkToFit="0" vertical="center" wrapText="0"/>
    </xf>
    <xf borderId="0" fillId="0" fontId="26" numFmtId="165" xfId="0" applyAlignment="1" applyFont="1" applyNumberFormat="1">
      <alignment horizontal="right" readingOrder="0" shrinkToFit="0" vertical="center" wrapText="0"/>
    </xf>
    <xf borderId="0" fillId="0" fontId="17" numFmtId="0" xfId="0" applyAlignment="1" applyFont="1">
      <alignment horizontal="right" readingOrder="0" shrinkToFit="0" vertical="center" wrapText="0"/>
    </xf>
    <xf borderId="0" fillId="0" fontId="17" numFmtId="3" xfId="0" applyAlignment="1" applyFont="1" applyNumberFormat="1">
      <alignment horizontal="left" readingOrder="0" shrinkToFit="0" vertical="center" wrapText="0"/>
    </xf>
    <xf borderId="0" fillId="0" fontId="18" numFmtId="4" xfId="0" applyFont="1" applyNumberFormat="1"/>
    <xf borderId="0" fillId="0" fontId="17" numFmtId="0" xfId="0" applyAlignment="1" applyFont="1">
      <alignment horizontal="right" readingOrder="0"/>
    </xf>
    <xf borderId="0" fillId="0" fontId="17" numFmtId="0" xfId="0" applyAlignment="1" applyFont="1">
      <alignment horizontal="center" readingOrder="0" shrinkToFit="0" textRotation="180" vertical="center" wrapText="0"/>
    </xf>
    <xf borderId="0" fillId="0" fontId="4" numFmtId="165" xfId="0" applyAlignment="1" applyFont="1" applyNumberFormat="1">
      <alignment readingOrder="0"/>
    </xf>
    <xf borderId="0" fillId="0" fontId="4" numFmtId="3" xfId="0" applyAlignment="1" applyFont="1" applyNumberFormat="1">
      <alignment horizontal="left" readingOrder="0"/>
    </xf>
    <xf borderId="0" fillId="0" fontId="18" numFmtId="0" xfId="0" applyAlignment="1" applyFont="1">
      <alignment horizontal="right" readingOrder="0"/>
    </xf>
    <xf borderId="0" fillId="0" fontId="18" numFmtId="3" xfId="0" applyAlignment="1" applyFont="1" applyNumberFormat="1">
      <alignment horizontal="left"/>
    </xf>
    <xf borderId="0" fillId="0" fontId="26" numFmtId="0" xfId="0" applyAlignment="1" applyFont="1">
      <alignment horizontal="left" readingOrder="0"/>
    </xf>
    <xf borderId="0" fillId="0" fontId="17" numFmtId="0" xfId="0" applyAlignment="1" applyFont="1">
      <alignment horizontal="center" shrinkToFit="0" vertical="center" wrapText="0"/>
    </xf>
    <xf borderId="0" fillId="0" fontId="17" numFmtId="0" xfId="0" applyAlignment="1" applyFont="1">
      <alignment horizontal="center" readingOrder="0" shrinkToFit="0" vertical="center" wrapText="0"/>
    </xf>
    <xf borderId="0" fillId="0" fontId="17" numFmtId="3" xfId="0" applyAlignment="1" applyFont="1" applyNumberFormat="1">
      <alignment horizontal="left" shrinkToFit="0" vertical="center" wrapText="0"/>
    </xf>
    <xf borderId="0" fillId="0" fontId="17" numFmtId="0" xfId="0" applyAlignment="1" applyFont="1">
      <alignment horizontal="left" shrinkToFit="0" vertical="center" wrapText="0"/>
    </xf>
    <xf borderId="0" fillId="0" fontId="17" numFmtId="0" xfId="0" applyAlignment="1" applyFont="1">
      <alignment horizontal="right" shrinkToFit="0" vertical="center" wrapText="0"/>
    </xf>
    <xf borderId="0" fillId="0" fontId="17" numFmtId="3" xfId="0" applyAlignment="1" applyFont="1" applyNumberFormat="1">
      <alignment horizontal="left" readingOrder="0" shrinkToFit="0" vertical="bottom" wrapText="0"/>
    </xf>
    <xf borderId="0" fillId="0" fontId="17" numFmtId="10" xfId="0" applyAlignment="1" applyFont="1" applyNumberFormat="1">
      <alignment horizontal="right" readingOrder="0" vertical="bottom"/>
    </xf>
    <xf borderId="0" fillId="0" fontId="18" numFmtId="4" xfId="0" applyAlignment="1" applyFont="1" applyNumberFormat="1">
      <alignment horizontal="right" vertical="bottom"/>
    </xf>
    <xf borderId="0" fillId="0" fontId="17" numFmtId="0" xfId="0" applyAlignment="1" applyFont="1">
      <alignment horizontal="right" shrinkToFit="0" vertical="bottom" wrapText="0"/>
    </xf>
    <xf borderId="0" fillId="0" fontId="17" numFmtId="0" xfId="0" applyAlignment="1" applyFont="1">
      <alignment horizontal="right" readingOrder="0" vertical="bottom"/>
    </xf>
    <xf borderId="11" fillId="11" fontId="15" numFmtId="0" xfId="0" applyAlignment="1" applyBorder="1" applyFont="1">
      <alignment horizontal="center" readingOrder="0" shrinkToFit="0" vertical="center" wrapText="1"/>
    </xf>
    <xf borderId="11" fillId="3" fontId="19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textRotation="90" vertical="center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right"/>
    </xf>
    <xf borderId="0" fillId="0" fontId="4" numFmtId="3" xfId="0" applyAlignment="1" applyFont="1" applyNumberFormat="1">
      <alignment horizontal="right" readingOrder="0"/>
    </xf>
    <xf borderId="12" fillId="3" fontId="19" numFmtId="0" xfId="0" applyAlignment="1" applyBorder="1" applyFont="1">
      <alignment horizontal="center" readingOrder="0" shrinkToFit="0" vertical="center" wrapText="0"/>
    </xf>
    <xf borderId="13" fillId="3" fontId="19" numFmtId="0" xfId="0" applyAlignment="1" applyBorder="1" applyFont="1">
      <alignment horizontal="center" readingOrder="0" shrinkToFit="0" vertical="center" wrapText="0"/>
    </xf>
    <xf borderId="0" fillId="0" fontId="28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p/DHb55k3RR3T/?img_index=1" TargetMode="External"/><Relationship Id="rId190" Type="http://schemas.openxmlformats.org/officeDocument/2006/relationships/hyperlink" Target="https://www.instagram.com/p/DPoa_y0leTi/?img_index=4" TargetMode="External"/><Relationship Id="rId42" Type="http://schemas.openxmlformats.org/officeDocument/2006/relationships/hyperlink" Target="https://www.instagram.com/p/DO4WI7CD3PI/?img_index=1" TargetMode="External"/><Relationship Id="rId41" Type="http://schemas.openxmlformats.org/officeDocument/2006/relationships/hyperlink" Target="https://www.instagram.com/p/DRLDcdBAGQn/?img_index=1" TargetMode="External"/><Relationship Id="rId44" Type="http://schemas.openxmlformats.org/officeDocument/2006/relationships/hyperlink" Target="https://www.instagram.com/p/DPpEir5gPRt/?img_index=1" TargetMode="External"/><Relationship Id="rId194" Type="http://schemas.openxmlformats.org/officeDocument/2006/relationships/hyperlink" Target="https://www.instagram.com/p/DITx-gQROpC/?img_index=1" TargetMode="External"/><Relationship Id="rId43" Type="http://schemas.openxmlformats.org/officeDocument/2006/relationships/hyperlink" Target="https://www.instagram.com/p/DRS3mCEk108/?img_index=1" TargetMode="External"/><Relationship Id="rId193" Type="http://schemas.openxmlformats.org/officeDocument/2006/relationships/hyperlink" Target="https://www.instagram.com/p/DQC4Ji7kTyv/?img_index=3" TargetMode="External"/><Relationship Id="rId46" Type="http://schemas.openxmlformats.org/officeDocument/2006/relationships/hyperlink" Target="https://www.instagram.com/p/DDfkGVax445/?img_index=1" TargetMode="External"/><Relationship Id="rId192" Type="http://schemas.openxmlformats.org/officeDocument/2006/relationships/hyperlink" Target="https://www.instagram.com/p/DQC4Ji7kTyv/?img_index=6" TargetMode="External"/><Relationship Id="rId45" Type="http://schemas.openxmlformats.org/officeDocument/2006/relationships/hyperlink" Target="https://www.instagram.com/p/DDiPLV7Rv6Q/?img_index=1" TargetMode="External"/><Relationship Id="rId191" Type="http://schemas.openxmlformats.org/officeDocument/2006/relationships/hyperlink" Target="https://www.instagram.com/p/DPoa_y0leTi/?img_index=3" TargetMode="External"/><Relationship Id="rId48" Type="http://schemas.openxmlformats.org/officeDocument/2006/relationships/hyperlink" Target="https://www.instagram.com/p/DIuU9gdRVwa/?img_index=1" TargetMode="External"/><Relationship Id="rId187" Type="http://schemas.openxmlformats.org/officeDocument/2006/relationships/hyperlink" Target="https://www.instagram.com/p/C7zZWj5xN1s/" TargetMode="External"/><Relationship Id="rId47" Type="http://schemas.openxmlformats.org/officeDocument/2006/relationships/hyperlink" Target="https://www.instagram.com/p/DXKl_ZNjUUY/?img_index=1" TargetMode="External"/><Relationship Id="rId186" Type="http://schemas.openxmlformats.org/officeDocument/2006/relationships/hyperlink" Target="https://www.instagram.com/p/DIXQ0feRgm2/?img_index=1" TargetMode="External"/><Relationship Id="rId185" Type="http://schemas.openxmlformats.org/officeDocument/2006/relationships/hyperlink" Target="https://www.instagram.com/p/DHgD6enxWAP/?img_index=1" TargetMode="External"/><Relationship Id="rId49" Type="http://schemas.openxmlformats.org/officeDocument/2006/relationships/hyperlink" Target="https://www.instagram.com/p/DId8zwMRAw_/?img_index=1" TargetMode="External"/><Relationship Id="rId184" Type="http://schemas.openxmlformats.org/officeDocument/2006/relationships/hyperlink" Target="https://www.instagram.com/p/DQC4Ji7kTyv/?img_index=2" TargetMode="External"/><Relationship Id="rId189" Type="http://schemas.openxmlformats.org/officeDocument/2006/relationships/hyperlink" Target="https://www.instagram.com/p/DHGRhpARIB2/?img_index=1" TargetMode="External"/><Relationship Id="rId188" Type="http://schemas.openxmlformats.org/officeDocument/2006/relationships/hyperlink" Target="https://www.instagram.com/p/DOZXmockyMR/?img_index=1" TargetMode="External"/><Relationship Id="rId31" Type="http://schemas.openxmlformats.org/officeDocument/2006/relationships/hyperlink" Target="https://www.instagram.com/p/DG3vKyhRYiQ/?img_index=1" TargetMode="External"/><Relationship Id="rId30" Type="http://schemas.openxmlformats.org/officeDocument/2006/relationships/hyperlink" Target="https://www.instagram.com/p/DGT05GdxO1G/?img_index=1" TargetMode="External"/><Relationship Id="rId33" Type="http://schemas.openxmlformats.org/officeDocument/2006/relationships/hyperlink" Target="https://www.instagram.com/p/DK8CPQIxhAh/?img_index=1" TargetMode="External"/><Relationship Id="rId183" Type="http://schemas.openxmlformats.org/officeDocument/2006/relationships/hyperlink" Target="https://www.instagram.com/p/DIlto-rR5Fo/?img_index=1" TargetMode="External"/><Relationship Id="rId32" Type="http://schemas.openxmlformats.org/officeDocument/2006/relationships/hyperlink" Target="https://www.instagram.com/p/DHHa3oURVlm/?img_index=1" TargetMode="External"/><Relationship Id="rId182" Type="http://schemas.openxmlformats.org/officeDocument/2006/relationships/hyperlink" Target="https://www.instagram.com/p/DEOCn9yxQVr/" TargetMode="External"/><Relationship Id="rId35" Type="http://schemas.openxmlformats.org/officeDocument/2006/relationships/hyperlink" Target="https://www.instagram.com/p/C92b7ttR1td/?img_index=1" TargetMode="External"/><Relationship Id="rId181" Type="http://schemas.openxmlformats.org/officeDocument/2006/relationships/hyperlink" Target="https://www.instagram.com/p/C6ogQRuuK0P/?img_index=1" TargetMode="External"/><Relationship Id="rId34" Type="http://schemas.openxmlformats.org/officeDocument/2006/relationships/hyperlink" Target="https://www.instagram.com/p/DD74l7Wxb7E/?img_index=1" TargetMode="External"/><Relationship Id="rId180" Type="http://schemas.openxmlformats.org/officeDocument/2006/relationships/hyperlink" Target="https://www.instagram.com/p/C5hHMTYvq_N/?img_index=1" TargetMode="External"/><Relationship Id="rId37" Type="http://schemas.openxmlformats.org/officeDocument/2006/relationships/hyperlink" Target="https://www.instagram.com/p/DVyp37PjN9G/?img_index=1" TargetMode="External"/><Relationship Id="rId176" Type="http://schemas.openxmlformats.org/officeDocument/2006/relationships/hyperlink" Target="https://www.instagram.com/p/DPoa_y0leTi/?img_index=2" TargetMode="External"/><Relationship Id="rId36" Type="http://schemas.openxmlformats.org/officeDocument/2006/relationships/hyperlink" Target="https://www.instagram.com/p/DGMGd94xhme/?img_index=1" TargetMode="External"/><Relationship Id="rId175" Type="http://schemas.openxmlformats.org/officeDocument/2006/relationships/hyperlink" Target="https://www.instagram.com/p/C7FTbvSvxT8/?img_index=2" TargetMode="External"/><Relationship Id="rId39" Type="http://schemas.openxmlformats.org/officeDocument/2006/relationships/hyperlink" Target="https://www.instagram.com/p/DGjOObOx9tW/?img_index=1" TargetMode="External"/><Relationship Id="rId174" Type="http://schemas.openxmlformats.org/officeDocument/2006/relationships/hyperlink" Target="https://www.instagram.com/p/C6ogQRuuK0P/?img_index=1" TargetMode="External"/><Relationship Id="rId38" Type="http://schemas.openxmlformats.org/officeDocument/2006/relationships/hyperlink" Target="https://www.instagram.com/p/DYANfjUoLA_/?img_index=1" TargetMode="External"/><Relationship Id="rId173" Type="http://schemas.openxmlformats.org/officeDocument/2006/relationships/hyperlink" Target="https://www.instagram.com/p/DP1UbFxDljq/?img_index=6" TargetMode="External"/><Relationship Id="rId179" Type="http://schemas.openxmlformats.org/officeDocument/2006/relationships/hyperlink" Target="https://www.instagram.com/p/C7FTbvSvxT8/?img_index=6" TargetMode="External"/><Relationship Id="rId178" Type="http://schemas.openxmlformats.org/officeDocument/2006/relationships/hyperlink" Target="https://www.instagram.com/p/DPj5dDojC/?img_index=3" TargetMode="External"/><Relationship Id="rId177" Type="http://schemas.openxmlformats.org/officeDocument/2006/relationships/hyperlink" Target="https://www.instagram.com/p/DJPSTtNRGJC/?img_index=1" TargetMode="External"/><Relationship Id="rId20" Type="http://schemas.openxmlformats.org/officeDocument/2006/relationships/hyperlink" Target="https://www.instagram.com/p/Cv50MYuOPP_/?img_index=1" TargetMode="External"/><Relationship Id="rId22" Type="http://schemas.openxmlformats.org/officeDocument/2006/relationships/hyperlink" Target="https://www.instagram.com/p/DDPWWZAxGH6/?img_index=1" TargetMode="External"/><Relationship Id="rId21" Type="http://schemas.openxmlformats.org/officeDocument/2006/relationships/hyperlink" Target="https://www.instagram.com/p/C_N44PXRGyZ/?img_index=1" TargetMode="External"/><Relationship Id="rId24" Type="http://schemas.openxmlformats.org/officeDocument/2006/relationships/hyperlink" Target="https://www.instagram.com/p/DHlisasxGEJ/?img_index=1" TargetMode="External"/><Relationship Id="rId23" Type="http://schemas.openxmlformats.org/officeDocument/2006/relationships/hyperlink" Target="https://www.instagram.com/p/DM0ySvbR7Cb/?img_index=1" TargetMode="External"/><Relationship Id="rId26" Type="http://schemas.openxmlformats.org/officeDocument/2006/relationships/hyperlink" Target="https://www.instagram.com/p/DR0RTkiDLOC/?img_index=1" TargetMode="External"/><Relationship Id="rId25" Type="http://schemas.openxmlformats.org/officeDocument/2006/relationships/hyperlink" Target="https://www.instagram.com/p/DRALwheDi5y/?img_index=1" TargetMode="External"/><Relationship Id="rId28" Type="http://schemas.openxmlformats.org/officeDocument/2006/relationships/hyperlink" Target="https://www.instagram.com/p/DOoyKUqDWcJ/?img_index=1" TargetMode="External"/><Relationship Id="rId27" Type="http://schemas.openxmlformats.org/officeDocument/2006/relationships/hyperlink" Target="https://www.instagram.com/p/DPM_v6bkcOW/?img_index=1" TargetMode="External"/><Relationship Id="rId29" Type="http://schemas.openxmlformats.org/officeDocument/2006/relationships/hyperlink" Target="https://www.instagram.com/p/DBUgFN5xoQA/?img_index=1" TargetMode="External"/><Relationship Id="rId11" Type="http://schemas.openxmlformats.org/officeDocument/2006/relationships/hyperlink" Target="https://www.instagram.com/p/CorrwuROhct/?img_index=1" TargetMode="External"/><Relationship Id="rId10" Type="http://schemas.openxmlformats.org/officeDocument/2006/relationships/hyperlink" Target="https://www.instagram.com/p/DEV6jS2xNPI/?img_index=1" TargetMode="External"/><Relationship Id="rId13" Type="http://schemas.openxmlformats.org/officeDocument/2006/relationships/hyperlink" Target="https://www.instagram.com/p/C_T6iVRRON-/?img_index=1" TargetMode="External"/><Relationship Id="rId12" Type="http://schemas.openxmlformats.org/officeDocument/2006/relationships/hyperlink" Target="https://www.instagram.com/p/DNon3_BTHUq/?img_index=1" TargetMode="External"/><Relationship Id="rId15" Type="http://schemas.openxmlformats.org/officeDocument/2006/relationships/hyperlink" Target="https://www.instagram.com/p/DGEYHO1R4jd/?img_index=1" TargetMode="External"/><Relationship Id="rId198" Type="http://schemas.openxmlformats.org/officeDocument/2006/relationships/hyperlink" Target="https://www.instagram.com/p/DOt7v-IFZyy/?img_index=1" TargetMode="External"/><Relationship Id="rId14" Type="http://schemas.openxmlformats.org/officeDocument/2006/relationships/hyperlink" Target="https://www.instagram.com/p/DL3RZk3xJp4/?img_index=1" TargetMode="External"/><Relationship Id="rId197" Type="http://schemas.openxmlformats.org/officeDocument/2006/relationships/hyperlink" Target="https://www.instagram.com/p/DPRM3pdjNnZ/?img_index=6" TargetMode="External"/><Relationship Id="rId17" Type="http://schemas.openxmlformats.org/officeDocument/2006/relationships/hyperlink" Target="https://www.instagram.com/p/DHi9JZnxZX0/?img_index=1" TargetMode="External"/><Relationship Id="rId196" Type="http://schemas.openxmlformats.org/officeDocument/2006/relationships/hyperlink" Target="https://www.instagram.com/p/DT0-i6RkSQ1/?img_index=1" TargetMode="External"/><Relationship Id="rId16" Type="http://schemas.openxmlformats.org/officeDocument/2006/relationships/hyperlink" Target="https://www.instagram.com/p/DM70eDfR_T6/?img_index=1" TargetMode="External"/><Relationship Id="rId195" Type="http://schemas.openxmlformats.org/officeDocument/2006/relationships/hyperlink" Target="https://www.instagram.com/p/DGOrPOMR9HE/?img_index=1" TargetMode="External"/><Relationship Id="rId19" Type="http://schemas.openxmlformats.org/officeDocument/2006/relationships/hyperlink" Target="https://www.instagram.com/p/DJcmYUSxCcS/?img_index=1" TargetMode="External"/><Relationship Id="rId18" Type="http://schemas.openxmlformats.org/officeDocument/2006/relationships/hyperlink" Target="https://www.instagram.com/p/C6ehTS_OKBV/?img_index=1" TargetMode="External"/><Relationship Id="rId199" Type="http://schemas.openxmlformats.org/officeDocument/2006/relationships/hyperlink" Target="https://www.instagram.com/p/DR8Gr-QCvvx/?img_index=1" TargetMode="External"/><Relationship Id="rId84" Type="http://schemas.openxmlformats.org/officeDocument/2006/relationships/hyperlink" Target="https://www.instagram.com/p/DJ2lyMQxw2V/?img_index=1" TargetMode="External"/><Relationship Id="rId83" Type="http://schemas.openxmlformats.org/officeDocument/2006/relationships/hyperlink" Target="https://www.instagram.com/p/DL3BhZPyo2z/?img_index=1" TargetMode="External"/><Relationship Id="rId86" Type="http://schemas.openxmlformats.org/officeDocument/2006/relationships/hyperlink" Target="https://www.instagram.com/p/DCVB8i4x0Xa/?img_index=1" TargetMode="External"/><Relationship Id="rId85" Type="http://schemas.openxmlformats.org/officeDocument/2006/relationships/hyperlink" Target="https://www.instagram.com/p/DIZuBN5RCQg/?img_index=1" TargetMode="External"/><Relationship Id="rId88" Type="http://schemas.openxmlformats.org/officeDocument/2006/relationships/hyperlink" Target="https://www.instagram.com/p/DF036qfx2C8/?img_index=1" TargetMode="External"/><Relationship Id="rId150" Type="http://schemas.openxmlformats.org/officeDocument/2006/relationships/hyperlink" Target="https://www.instagram.com/p/C9M-0MVx8MH/?img_index=1" TargetMode="External"/><Relationship Id="rId87" Type="http://schemas.openxmlformats.org/officeDocument/2006/relationships/hyperlink" Target="https://www.instagram.com/p/C66angaO_LO/?img_index=1" TargetMode="External"/><Relationship Id="rId89" Type="http://schemas.openxmlformats.org/officeDocument/2006/relationships/hyperlink" Target="https://www.instagram.com/p/DJuG4ySx2xM/?img_index=1" TargetMode="External"/><Relationship Id="rId80" Type="http://schemas.openxmlformats.org/officeDocument/2006/relationships/hyperlink" Target="https://www.instagram.com/p/DIrqKVGRD8Y/?img_index=1" TargetMode="External"/><Relationship Id="rId82" Type="http://schemas.openxmlformats.org/officeDocument/2006/relationships/hyperlink" Target="https://www.instagram.com/p/DSOOdqoE0Wq/?img_index=1" TargetMode="External"/><Relationship Id="rId81" Type="http://schemas.openxmlformats.org/officeDocument/2006/relationships/hyperlink" Target="https://www.instagram.com/p/C5VePmduwUv/?img_index=1" TargetMode="External"/><Relationship Id="rId1" Type="http://schemas.openxmlformats.org/officeDocument/2006/relationships/hyperlink" Target="https://www.instagram.com/p/DPoa_y0leTi/?img_index=7" TargetMode="External"/><Relationship Id="rId2" Type="http://schemas.openxmlformats.org/officeDocument/2006/relationships/hyperlink" Target="https://www.instagram.com/p/DPj5dDojC/?img_index=5" TargetMode="External"/><Relationship Id="rId3" Type="http://schemas.openxmlformats.org/officeDocument/2006/relationships/hyperlink" Target="https://www.instagram.com/p/C6ogQRuuK0P/?img_index=1" TargetMode="External"/><Relationship Id="rId149" Type="http://schemas.openxmlformats.org/officeDocument/2006/relationships/hyperlink" Target="https://www.instagram.com/p/DPj5dDok2jC/?img_index=1" TargetMode="External"/><Relationship Id="rId4" Type="http://schemas.openxmlformats.org/officeDocument/2006/relationships/hyperlink" Target="https://www.instagram.com/p/DDIWnqhRlAo/?img_index=1" TargetMode="External"/><Relationship Id="rId148" Type="http://schemas.openxmlformats.org/officeDocument/2006/relationships/hyperlink" Target="https://www.instagram.com/p/C6ogQRuuK0P/?img_index=1" TargetMode="External"/><Relationship Id="rId9" Type="http://schemas.openxmlformats.org/officeDocument/2006/relationships/hyperlink" Target="https://www.instagram.com/p/DKALU4ox_rE/?img_index=1" TargetMode="External"/><Relationship Id="rId143" Type="http://schemas.openxmlformats.org/officeDocument/2006/relationships/hyperlink" Target="https://www.instagram.com/p/C9M-0MVx8MH/?img_index=1" TargetMode="External"/><Relationship Id="rId142" Type="http://schemas.openxmlformats.org/officeDocument/2006/relationships/hyperlink" Target="https://www.instagram.com/p/DCC-HsSx9G-/?img_index=1" TargetMode="External"/><Relationship Id="rId141" Type="http://schemas.openxmlformats.org/officeDocument/2006/relationships/hyperlink" Target="https://www.instagram.com/p/C3Q9Hb5PiEm/?img_index=1" TargetMode="External"/><Relationship Id="rId140" Type="http://schemas.openxmlformats.org/officeDocument/2006/relationships/hyperlink" Target="https://www.instagram.com/p/DR236cbEQIU/?img_index=1" TargetMode="External"/><Relationship Id="rId5" Type="http://schemas.openxmlformats.org/officeDocument/2006/relationships/hyperlink" Target="https://www.instagram.com/p/DG1I7bvxE5M/?img_index=1" TargetMode="External"/><Relationship Id="rId147" Type="http://schemas.openxmlformats.org/officeDocument/2006/relationships/hyperlink" Target="https://www.instagram.com/p/DP1UbFxDljq/?img_index=4" TargetMode="External"/><Relationship Id="rId6" Type="http://schemas.openxmlformats.org/officeDocument/2006/relationships/hyperlink" Target="https://www.instagram.com/p/DKKfx80xX3w/?img_index=1" TargetMode="External"/><Relationship Id="rId146" Type="http://schemas.openxmlformats.org/officeDocument/2006/relationships/hyperlink" Target="https://www.instagram.com/p/C9M-0MVx8MH/?img_index=1" TargetMode="External"/><Relationship Id="rId7" Type="http://schemas.openxmlformats.org/officeDocument/2006/relationships/hyperlink" Target="https://www.instagram.com/p/C4QsoDzu9Nz/?img_index=1" TargetMode="External"/><Relationship Id="rId145" Type="http://schemas.openxmlformats.org/officeDocument/2006/relationships/hyperlink" Target="https://www.instagram.com/p/C9M-0MVx8MH/?img_index=1" TargetMode="External"/><Relationship Id="rId8" Type="http://schemas.openxmlformats.org/officeDocument/2006/relationships/hyperlink" Target="https://www.instagram.com/p/C4QsoDzu9Nz/?img_index=5" TargetMode="External"/><Relationship Id="rId144" Type="http://schemas.openxmlformats.org/officeDocument/2006/relationships/hyperlink" Target="https://www.instagram.com/p/C9M-0MVx8MH/?img_index=1" TargetMode="External"/><Relationship Id="rId73" Type="http://schemas.openxmlformats.org/officeDocument/2006/relationships/hyperlink" Target="https://www.instagram.com/p/C5TCbgUuB0w/?img_index=1" TargetMode="External"/><Relationship Id="rId72" Type="http://schemas.openxmlformats.org/officeDocument/2006/relationships/hyperlink" Target="https://www.instagram.com/p/DPoa_y0leTi/?img_index=1" TargetMode="External"/><Relationship Id="rId75" Type="http://schemas.openxmlformats.org/officeDocument/2006/relationships/hyperlink" Target="https://www.instagram.com/p/DHqpKoJR04i/?img_index=1" TargetMode="External"/><Relationship Id="rId74" Type="http://schemas.openxmlformats.org/officeDocument/2006/relationships/hyperlink" Target="https://www.instagram.com/p/Cy6V7wfImCt/?img_index=1" TargetMode="External"/><Relationship Id="rId77" Type="http://schemas.openxmlformats.org/officeDocument/2006/relationships/hyperlink" Target="https://www.instagram.com/p/DMaxzOoONVx/?img_index=1" TargetMode="External"/><Relationship Id="rId76" Type="http://schemas.openxmlformats.org/officeDocument/2006/relationships/hyperlink" Target="https://www.instagram.com/p/DFK0O8RRqxB/?img_index=1" TargetMode="External"/><Relationship Id="rId79" Type="http://schemas.openxmlformats.org/officeDocument/2006/relationships/hyperlink" Target="https://www.instagram.com/p/C7xP9w4Pgem/?img_index=1" TargetMode="External"/><Relationship Id="rId78" Type="http://schemas.openxmlformats.org/officeDocument/2006/relationships/hyperlink" Target="https://www.instagram.com/p/C5MkaG2vHwM/?img_index=1" TargetMode="External"/><Relationship Id="rId71" Type="http://schemas.openxmlformats.org/officeDocument/2006/relationships/hyperlink" Target="https://www.instagram.com/p/C6d-o8Fu_RF/?img_index=1" TargetMode="External"/><Relationship Id="rId70" Type="http://schemas.openxmlformats.org/officeDocument/2006/relationships/hyperlink" Target="https://www.instagram.com/p/C6d-o8Fu_RF/?img_index=1" TargetMode="External"/><Relationship Id="rId139" Type="http://schemas.openxmlformats.org/officeDocument/2006/relationships/hyperlink" Target="https://www.instagram.com/p/DN1V0Bj6roj/?img_index=1" TargetMode="External"/><Relationship Id="rId138" Type="http://schemas.openxmlformats.org/officeDocument/2006/relationships/hyperlink" Target="https://www.instagram.com/p/DQAWkCBDEW-/?img_index=9" TargetMode="External"/><Relationship Id="rId137" Type="http://schemas.openxmlformats.org/officeDocument/2006/relationships/hyperlink" Target="https://www.instagram.com/p/DL5yvo0x9pb/?img_index=1" TargetMode="External"/><Relationship Id="rId132" Type="http://schemas.openxmlformats.org/officeDocument/2006/relationships/hyperlink" Target="https://www.instagram.com/p/DP7KG_-kSu-/?img_index=9" TargetMode="External"/><Relationship Id="rId131" Type="http://schemas.openxmlformats.org/officeDocument/2006/relationships/hyperlink" Target="https://www.instagram.com/p/DP19459E5F2/?img_index=9" TargetMode="External"/><Relationship Id="rId130" Type="http://schemas.openxmlformats.org/officeDocument/2006/relationships/hyperlink" Target="https://www.instagram.com/p/DPPg86Uk-CQ/?img_index=6" TargetMode="External"/><Relationship Id="rId136" Type="http://schemas.openxmlformats.org/officeDocument/2006/relationships/hyperlink" Target="https://www.instagram.com/p/DRszd7hEas2/?img_index=1" TargetMode="External"/><Relationship Id="rId135" Type="http://schemas.openxmlformats.org/officeDocument/2006/relationships/hyperlink" Target="https://www.instagram.com/p/C9nDNLzRXUN/?img_index=1" TargetMode="External"/><Relationship Id="rId134" Type="http://schemas.openxmlformats.org/officeDocument/2006/relationships/hyperlink" Target="https://www.instagram.com/p/DRVcsc3Exff/?img_index=1" TargetMode="External"/><Relationship Id="rId133" Type="http://schemas.openxmlformats.org/officeDocument/2006/relationships/hyperlink" Target="https://www.instagram.com/p/C4bvyEqR5ZL/?img_index=1" TargetMode="External"/><Relationship Id="rId62" Type="http://schemas.openxmlformats.org/officeDocument/2006/relationships/hyperlink" Target="https://www.instagram.com/p/DPoa_y0leTi/?img_index=10" TargetMode="External"/><Relationship Id="rId61" Type="http://schemas.openxmlformats.org/officeDocument/2006/relationships/hyperlink" Target="https://www.instagram.com/p/DE5wbeHRNq1/?img_index=1" TargetMode="External"/><Relationship Id="rId64" Type="http://schemas.openxmlformats.org/officeDocument/2006/relationships/hyperlink" Target="https://www.instagram.com/p/DNBktN2yt9G/?img_index=1" TargetMode="External"/><Relationship Id="rId63" Type="http://schemas.openxmlformats.org/officeDocument/2006/relationships/hyperlink" Target="https://www.instagram.com/p/DQC4Ji7kTyv/?img_index=8" TargetMode="External"/><Relationship Id="rId66" Type="http://schemas.openxmlformats.org/officeDocument/2006/relationships/hyperlink" Target="https://www.instagram.com/p/C6d-o8Fu_RF/?img_index=1" TargetMode="External"/><Relationship Id="rId172" Type="http://schemas.openxmlformats.org/officeDocument/2006/relationships/hyperlink" Target="https://www.instagram.com/p/C7FTbvSvxT8/?img_index=2" TargetMode="External"/><Relationship Id="rId65" Type="http://schemas.openxmlformats.org/officeDocument/2006/relationships/hyperlink" Target="https://www.instagram.com/p/C6d-o8Fu_RF/?img_index=1" TargetMode="External"/><Relationship Id="rId171" Type="http://schemas.openxmlformats.org/officeDocument/2006/relationships/hyperlink" Target="https://www.instagram.com/p/C8-hmz7v6kR/?img_index=1" TargetMode="External"/><Relationship Id="rId68" Type="http://schemas.openxmlformats.org/officeDocument/2006/relationships/hyperlink" Target="https://www.instagram.com/p/C6d-o8Fu_RF/?img_index=1" TargetMode="External"/><Relationship Id="rId170" Type="http://schemas.openxmlformats.org/officeDocument/2006/relationships/hyperlink" Target="https://www.instagram.com/p/C8-hmz7v6kR/?img_index=1" TargetMode="External"/><Relationship Id="rId67" Type="http://schemas.openxmlformats.org/officeDocument/2006/relationships/hyperlink" Target="https://www.instagram.com/p/C6d-o8Fu_RF/?img_index=1" TargetMode="External"/><Relationship Id="rId60" Type="http://schemas.openxmlformats.org/officeDocument/2006/relationships/hyperlink" Target="https://www.instagram.com/p/DJrd9fwRLee/?img_index=1" TargetMode="External"/><Relationship Id="rId165" Type="http://schemas.openxmlformats.org/officeDocument/2006/relationships/hyperlink" Target="https://www.instagram.com/p/DP1UbFxDljq/?img_index=2" TargetMode="External"/><Relationship Id="rId69" Type="http://schemas.openxmlformats.org/officeDocument/2006/relationships/hyperlink" Target="https://www.instagram.com/p/C6d-o8Fu_RF/?img_index=1" TargetMode="External"/><Relationship Id="rId164" Type="http://schemas.openxmlformats.org/officeDocument/2006/relationships/hyperlink" Target="https://www.instagram.com/p/DPj5dDojC/?img_index=4" TargetMode="External"/><Relationship Id="rId163" Type="http://schemas.openxmlformats.org/officeDocument/2006/relationships/hyperlink" Target="https://www.instagram.com/p/C_yH2q3xnUP/?img_index=1" TargetMode="External"/><Relationship Id="rId162" Type="http://schemas.openxmlformats.org/officeDocument/2006/relationships/hyperlink" Target="https://www.instagram.com/p/C_yH2q3xnUP/?img_index=1" TargetMode="External"/><Relationship Id="rId169" Type="http://schemas.openxmlformats.org/officeDocument/2006/relationships/hyperlink" Target="https://www.instagram.com/p/C8-hmz7v6kR/?img_index=2" TargetMode="External"/><Relationship Id="rId168" Type="http://schemas.openxmlformats.org/officeDocument/2006/relationships/hyperlink" Target="https://www.instagram.com/p/DPj5dDojC/?img_index=2" TargetMode="External"/><Relationship Id="rId167" Type="http://schemas.openxmlformats.org/officeDocument/2006/relationships/hyperlink" Target="https://www.instagram.com/p/DP1UbFxDljq/?img_index=3" TargetMode="External"/><Relationship Id="rId166" Type="http://schemas.openxmlformats.org/officeDocument/2006/relationships/hyperlink" Target="https://www.instagram.com/p/C7FTbvSvxT8/?img_index=6" TargetMode="External"/><Relationship Id="rId51" Type="http://schemas.openxmlformats.org/officeDocument/2006/relationships/hyperlink" Target="https://www.instagram.com/p/C8c8ojqPvXb/" TargetMode="External"/><Relationship Id="rId50" Type="http://schemas.openxmlformats.org/officeDocument/2006/relationships/hyperlink" Target="https://www.instagram.com/p/C66d_I7uARM/" TargetMode="External"/><Relationship Id="rId53" Type="http://schemas.openxmlformats.org/officeDocument/2006/relationships/hyperlink" Target="https://www.instagram.com/p/DCFv5yWxEMT/?img_index=1" TargetMode="External"/><Relationship Id="rId52" Type="http://schemas.openxmlformats.org/officeDocument/2006/relationships/hyperlink" Target="https://www.instagram.com/p/C7md0h8xKOE/" TargetMode="External"/><Relationship Id="rId55" Type="http://schemas.openxmlformats.org/officeDocument/2006/relationships/hyperlink" Target="https://www.instagram.com/p/DDcdmRvR-q_/?img_index=1" TargetMode="External"/><Relationship Id="rId161" Type="http://schemas.openxmlformats.org/officeDocument/2006/relationships/hyperlink" Target="https://www.instagram.com/p/DP1UbFxDljq/?img_index=1" TargetMode="External"/><Relationship Id="rId54" Type="http://schemas.openxmlformats.org/officeDocument/2006/relationships/hyperlink" Target="https://www.instagram.com/p/DBkGyJiR6uD/?img_index=1" TargetMode="External"/><Relationship Id="rId160" Type="http://schemas.openxmlformats.org/officeDocument/2006/relationships/hyperlink" Target="https://www.instagram.com/p/DP1UbFxDljq/?img_index=5" TargetMode="External"/><Relationship Id="rId57" Type="http://schemas.openxmlformats.org/officeDocument/2006/relationships/hyperlink" Target="https://www.instagram.com/p/DItiQGdRzBi/?img_index=1" TargetMode="External"/><Relationship Id="rId56" Type="http://schemas.openxmlformats.org/officeDocument/2006/relationships/hyperlink" Target="https://www.instagram.com/p/C7z8XDPPqA4/?img_index=1" TargetMode="External"/><Relationship Id="rId159" Type="http://schemas.openxmlformats.org/officeDocument/2006/relationships/hyperlink" Target="https://www.instagram.com/p/DPoa_y0leTi/?img_index=6" TargetMode="External"/><Relationship Id="rId59" Type="http://schemas.openxmlformats.org/officeDocument/2006/relationships/hyperlink" Target="https://www.instagram.com/p/DIge4djRWPX/?img_index=1" TargetMode="External"/><Relationship Id="rId154" Type="http://schemas.openxmlformats.org/officeDocument/2006/relationships/hyperlink" Target="https://www.instagram.com/p/C7FTbvSvxT8/?img_index=2" TargetMode="External"/><Relationship Id="rId58" Type="http://schemas.openxmlformats.org/officeDocument/2006/relationships/hyperlink" Target="https://www.instagram.com/p/DHtgoHpxIdI/?img_index=1" TargetMode="External"/><Relationship Id="rId153" Type="http://schemas.openxmlformats.org/officeDocument/2006/relationships/hyperlink" Target="https://www.instagram.com/p/DPoa_y0leTi/?img_index=8" TargetMode="External"/><Relationship Id="rId152" Type="http://schemas.openxmlformats.org/officeDocument/2006/relationships/hyperlink" Target="https://www.instagram.com/p/C8-hmz7v6kR/?img_index=7" TargetMode="External"/><Relationship Id="rId151" Type="http://schemas.openxmlformats.org/officeDocument/2006/relationships/hyperlink" Target="https://www.instagram.com/p/C6ogQRuuK0P/?img_index=1" TargetMode="External"/><Relationship Id="rId158" Type="http://schemas.openxmlformats.org/officeDocument/2006/relationships/hyperlink" Target="https://www.instagram.com/p/C6ogQRuuK0P/?img_index=1" TargetMode="External"/><Relationship Id="rId157" Type="http://schemas.openxmlformats.org/officeDocument/2006/relationships/hyperlink" Target="https://www.instagram.com/p/DP1UbFxDljq/?img_index=7" TargetMode="External"/><Relationship Id="rId156" Type="http://schemas.openxmlformats.org/officeDocument/2006/relationships/hyperlink" Target="https://www.instagram.com/p/C_yH2q3xnUP/?img_index=1" TargetMode="External"/><Relationship Id="rId155" Type="http://schemas.openxmlformats.org/officeDocument/2006/relationships/hyperlink" Target="https://www.instagram.com/p/C8-hmz7v6kR/?img_index=7" TargetMode="External"/><Relationship Id="rId107" Type="http://schemas.openxmlformats.org/officeDocument/2006/relationships/hyperlink" Target="https://www.instagram.com/p/CgnSlhFu0uS/?img_index=1" TargetMode="External"/><Relationship Id="rId106" Type="http://schemas.openxmlformats.org/officeDocument/2006/relationships/hyperlink" Target="https://www.instagram.com/p/DJ6wmxRRfRh/?img_index=1" TargetMode="External"/><Relationship Id="rId105" Type="http://schemas.openxmlformats.org/officeDocument/2006/relationships/hyperlink" Target="https://www.instagram.com/p/C7m-zldvazE/?img_index=1" TargetMode="External"/><Relationship Id="rId104" Type="http://schemas.openxmlformats.org/officeDocument/2006/relationships/hyperlink" Target="https://www.instagram.com/p/DA6vg8_xDz6/?img_index=7" TargetMode="External"/><Relationship Id="rId109" Type="http://schemas.openxmlformats.org/officeDocument/2006/relationships/hyperlink" Target="https://www.instagram.com/p/C77ReLKvBCR/?img_index=1" TargetMode="External"/><Relationship Id="rId108" Type="http://schemas.openxmlformats.org/officeDocument/2006/relationships/hyperlink" Target="https://www.instagram.com/p/C9BBO5mPG6Q/?img_index=2" TargetMode="External"/><Relationship Id="rId103" Type="http://schemas.openxmlformats.org/officeDocument/2006/relationships/hyperlink" Target="https://www.instagram.com/p/C5yh2k4u11_/?img_index=8" TargetMode="External"/><Relationship Id="rId102" Type="http://schemas.openxmlformats.org/officeDocument/2006/relationships/hyperlink" Target="https://www.instagram.com/p/C_ROWusvWrz/?img_index=1" TargetMode="External"/><Relationship Id="rId101" Type="http://schemas.openxmlformats.org/officeDocument/2006/relationships/hyperlink" Target="https://www.instagram.com/p/DGBzUMixFh6/?img_index=1" TargetMode="External"/><Relationship Id="rId100" Type="http://schemas.openxmlformats.org/officeDocument/2006/relationships/hyperlink" Target="https://www.instagram.com/p/Cq3lC_lv11z/?img_index=1" TargetMode="External"/><Relationship Id="rId212" Type="http://schemas.openxmlformats.org/officeDocument/2006/relationships/drawing" Target="../drawings/drawing1.xml"/><Relationship Id="rId211" Type="http://schemas.openxmlformats.org/officeDocument/2006/relationships/hyperlink" Target="https://www.instagram.com/p/DYDDtkNDiTC/?img_index=1" TargetMode="External"/><Relationship Id="rId210" Type="http://schemas.openxmlformats.org/officeDocument/2006/relationships/hyperlink" Target="https://www.instagram.com/p/DWkMCpQia2k/?img_index=6" TargetMode="External"/><Relationship Id="rId129" Type="http://schemas.openxmlformats.org/officeDocument/2006/relationships/hyperlink" Target="https://www.instagram.com/p/DRYCcCTk62K/?img_index=1" TargetMode="External"/><Relationship Id="rId128" Type="http://schemas.openxmlformats.org/officeDocument/2006/relationships/hyperlink" Target="https://www.instagram.com/p/Ce9Ryw1Oi1b/?igsh=a3YwdW15dzRsY21k" TargetMode="External"/><Relationship Id="rId127" Type="http://schemas.openxmlformats.org/officeDocument/2006/relationships/hyperlink" Target="https://www.instagram.com/p/DKclSGAR1eh/?img_index=1" TargetMode="External"/><Relationship Id="rId126" Type="http://schemas.openxmlformats.org/officeDocument/2006/relationships/hyperlink" Target="https://www.instagram.com/p/DPFHrBMk4ig/?img_index=1" TargetMode="External"/><Relationship Id="rId121" Type="http://schemas.openxmlformats.org/officeDocument/2006/relationships/hyperlink" Target="https://www.instagram.com/p/DO9ag1vE09k/?img_index=5" TargetMode="External"/><Relationship Id="rId120" Type="http://schemas.openxmlformats.org/officeDocument/2006/relationships/hyperlink" Target="https://www.instagram.com/p/DRiCSENEfQy/?img_index=1" TargetMode="External"/><Relationship Id="rId125" Type="http://schemas.openxmlformats.org/officeDocument/2006/relationships/hyperlink" Target="https://www.instagram.com/p/DAOxbiyPGJE/?img_index=1" TargetMode="External"/><Relationship Id="rId124" Type="http://schemas.openxmlformats.org/officeDocument/2006/relationships/hyperlink" Target="https://www.instagram.com/p/DPkLFtagOK2/?img_index=1" TargetMode="External"/><Relationship Id="rId123" Type="http://schemas.openxmlformats.org/officeDocument/2006/relationships/hyperlink" Target="https://www.instagram.com/p/DR-qyBZgKiT/?img_index=1" TargetMode="External"/><Relationship Id="rId122" Type="http://schemas.openxmlformats.org/officeDocument/2006/relationships/hyperlink" Target="https://www.instagram.com/p/DMGi7ipxzU5/?img_index=1" TargetMode="External"/><Relationship Id="rId95" Type="http://schemas.openxmlformats.org/officeDocument/2006/relationships/hyperlink" Target="https://www.instagram.com/p/DFqOb_PRdE6/?img_index=1" TargetMode="External"/><Relationship Id="rId94" Type="http://schemas.openxmlformats.org/officeDocument/2006/relationships/hyperlink" Target="https://www.instagram.com/p/C9p7BPfPdoe/?img_index=1" TargetMode="External"/><Relationship Id="rId97" Type="http://schemas.openxmlformats.org/officeDocument/2006/relationships/hyperlink" Target="https://www.instagram.com/p/DUB2nSYkbcN/?img_index=1" TargetMode="External"/><Relationship Id="rId96" Type="http://schemas.openxmlformats.org/officeDocument/2006/relationships/hyperlink" Target="https://www.instagram.com/p/DMBaLbQxo5Y/?img_index=1" TargetMode="External"/><Relationship Id="rId99" Type="http://schemas.openxmlformats.org/officeDocument/2006/relationships/hyperlink" Target="https://www.instagram.com/p/C_gqiL2xckb/?img_index=1" TargetMode="External"/><Relationship Id="rId98" Type="http://schemas.openxmlformats.org/officeDocument/2006/relationships/hyperlink" Target="https://www.instagram.com/p/DHEq646xNuR/" TargetMode="External"/><Relationship Id="rId91" Type="http://schemas.openxmlformats.org/officeDocument/2006/relationships/hyperlink" Target="https://www.instagram.com/p/C8cFRMku-qz/?img_index=2" TargetMode="External"/><Relationship Id="rId90" Type="http://schemas.openxmlformats.org/officeDocument/2006/relationships/hyperlink" Target="https://www.instagram.com/p/DP9v8pfArjU/?img_index=1" TargetMode="External"/><Relationship Id="rId93" Type="http://schemas.openxmlformats.org/officeDocument/2006/relationships/hyperlink" Target="https://www.instagram.com/p/C8cFRMku-qz/?img_index=1" TargetMode="External"/><Relationship Id="rId92" Type="http://schemas.openxmlformats.org/officeDocument/2006/relationships/hyperlink" Target="https://www.instagram.com/p/DJWpxIGRfjo/?img_index=1" TargetMode="External"/><Relationship Id="rId118" Type="http://schemas.openxmlformats.org/officeDocument/2006/relationships/hyperlink" Target="https://www.instagram.com/p/DQCQshhDY-W/?img_index=1" TargetMode="External"/><Relationship Id="rId117" Type="http://schemas.openxmlformats.org/officeDocument/2006/relationships/hyperlink" Target="https://www.instagram.com/p/DLnpcY3Rv93/?img_index=1" TargetMode="External"/><Relationship Id="rId116" Type="http://schemas.openxmlformats.org/officeDocument/2006/relationships/hyperlink" Target="https://www.instagram.com/p/DP4jXyDgafR/?img_index=9" TargetMode="External"/><Relationship Id="rId115" Type="http://schemas.openxmlformats.org/officeDocument/2006/relationships/hyperlink" Target="https://www.instagram.com/p/DR3G0dWCvj9/?img_index=1" TargetMode="External"/><Relationship Id="rId119" Type="http://schemas.openxmlformats.org/officeDocument/2006/relationships/hyperlink" Target="https://www.instagram.com/p/DJVC6ooR4pu/?img_index=1" TargetMode="External"/><Relationship Id="rId110" Type="http://schemas.openxmlformats.org/officeDocument/2006/relationships/hyperlink" Target="https://www.instagram.com/p/DI96hcgxU22/?img_index=1" TargetMode="External"/><Relationship Id="rId114" Type="http://schemas.openxmlformats.org/officeDocument/2006/relationships/hyperlink" Target="https://www.instagram.com/p/DRCxYBhDje4/?img_index=1" TargetMode="External"/><Relationship Id="rId113" Type="http://schemas.openxmlformats.org/officeDocument/2006/relationships/hyperlink" Target="https://www.instagram.com/p/C8rprt7O8bu/?img_index=1" TargetMode="External"/><Relationship Id="rId112" Type="http://schemas.openxmlformats.org/officeDocument/2006/relationships/hyperlink" Target="https://www.instagram.com/p/C_ITxAfxB3V/?img_index=1" TargetMode="External"/><Relationship Id="rId111" Type="http://schemas.openxmlformats.org/officeDocument/2006/relationships/hyperlink" Target="https://www.instagram.com/p/DJMQHWtxHub/?img_index=1" TargetMode="External"/><Relationship Id="rId206" Type="http://schemas.openxmlformats.org/officeDocument/2006/relationships/hyperlink" Target="https://www.instagram.com/p/DV69nekgitH/?img_index=1" TargetMode="External"/><Relationship Id="rId205" Type="http://schemas.openxmlformats.org/officeDocument/2006/relationships/hyperlink" Target="https://www.instagram.com/p/DV13P4AkT6Z/?img_index=1" TargetMode="External"/><Relationship Id="rId204" Type="http://schemas.openxmlformats.org/officeDocument/2006/relationships/hyperlink" Target="https://www.instagram.com/p/DVwQq0JDx_Z/?img_index=1" TargetMode="External"/><Relationship Id="rId203" Type="http://schemas.openxmlformats.org/officeDocument/2006/relationships/hyperlink" Target="https://www.instagram.com/p/DUT9k_Hk0_y/?img_index=1" TargetMode="External"/><Relationship Id="rId209" Type="http://schemas.openxmlformats.org/officeDocument/2006/relationships/hyperlink" Target="https://www.instagram.com/p/DWcg4qCEaR2/?img_index=6" TargetMode="External"/><Relationship Id="rId208" Type="http://schemas.openxmlformats.org/officeDocument/2006/relationships/hyperlink" Target="https://www.instagram.com/p/DWZMcQvF3ur/?img_index=6" TargetMode="External"/><Relationship Id="rId207" Type="http://schemas.openxmlformats.org/officeDocument/2006/relationships/hyperlink" Target="https://www.instagram.com/p/DWWq2alj5bv/?img_index=6" TargetMode="External"/><Relationship Id="rId202" Type="http://schemas.openxmlformats.org/officeDocument/2006/relationships/hyperlink" Target="https://www.instagram.com/p/DT-ulI8jMlN/?img_index=1" TargetMode="External"/><Relationship Id="rId201" Type="http://schemas.openxmlformats.org/officeDocument/2006/relationships/hyperlink" Target="https://www.instagram.com/p/DUQz5-zDJhV/?img_index=1" TargetMode="External"/><Relationship Id="rId200" Type="http://schemas.openxmlformats.org/officeDocument/2006/relationships/hyperlink" Target="https://www.instagram.com/p/DB2BkD2x6We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25"/>
    <col customWidth="1" min="2" max="2" width="15.13"/>
    <col customWidth="1" min="3" max="3" width="13.5"/>
    <col customWidth="1" min="4" max="4" width="46.88"/>
    <col customWidth="1" min="7" max="7" width="14.63"/>
    <col customWidth="1" min="8" max="8" width="8.5"/>
    <col customWidth="1" min="9" max="9" width="22.38"/>
    <col customWidth="1" min="10" max="10" width="7.63"/>
  </cols>
  <sheetData>
    <row r="1" ht="30.0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>
        <v>1400.0</v>
      </c>
      <c r="L1" s="11" t="s">
        <v>10</v>
      </c>
      <c r="M1" s="11" t="s">
        <v>11</v>
      </c>
      <c r="N1" s="11" t="s">
        <v>12</v>
      </c>
    </row>
    <row r="2">
      <c r="A2" s="12"/>
      <c r="B2" s="13" t="s">
        <v>13</v>
      </c>
      <c r="C2" s="12"/>
      <c r="D2" s="13" t="s">
        <v>14</v>
      </c>
      <c r="E2" s="14">
        <v>170.0</v>
      </c>
      <c r="F2" s="15"/>
      <c r="G2" s="16" t="s">
        <v>15</v>
      </c>
      <c r="H2" s="13" t="b">
        <v>1</v>
      </c>
      <c r="I2" s="17" t="s">
        <v>16</v>
      </c>
      <c r="J2" s="12" t="b">
        <v>0</v>
      </c>
    </row>
    <row r="3">
      <c r="A3" s="18"/>
      <c r="B3" s="19" t="s">
        <v>13</v>
      </c>
      <c r="C3" s="19"/>
      <c r="D3" s="19" t="s">
        <v>17</v>
      </c>
      <c r="E3" s="20">
        <v>170.0</v>
      </c>
      <c r="F3" s="21" t="str">
        <f>E3*#REF!*1.16</f>
        <v>#REF!</v>
      </c>
      <c r="G3" s="22" t="s">
        <v>15</v>
      </c>
      <c r="H3" s="18" t="b">
        <v>0</v>
      </c>
      <c r="I3" s="23"/>
      <c r="J3" s="18" t="b">
        <v>0</v>
      </c>
      <c r="K3" s="24"/>
      <c r="L3" s="24"/>
      <c r="M3" s="24"/>
      <c r="N3" s="24"/>
    </row>
    <row r="4">
      <c r="A4" s="12"/>
      <c r="B4" s="13" t="s">
        <v>13</v>
      </c>
      <c r="C4" s="12"/>
      <c r="D4" s="13" t="s">
        <v>18</v>
      </c>
      <c r="E4" s="14">
        <v>237.0</v>
      </c>
      <c r="F4" s="15"/>
      <c r="G4" s="16"/>
      <c r="H4" s="13" t="b">
        <v>1</v>
      </c>
      <c r="I4" s="17" t="s">
        <v>19</v>
      </c>
      <c r="J4" s="12" t="b">
        <v>0</v>
      </c>
    </row>
    <row r="5">
      <c r="A5" s="18"/>
      <c r="B5" s="19" t="s">
        <v>13</v>
      </c>
      <c r="C5" s="19"/>
      <c r="D5" s="19" t="s">
        <v>20</v>
      </c>
      <c r="E5" s="20">
        <v>315.0</v>
      </c>
      <c r="F5" s="15" t="str">
        <f t="shared" ref="F5:F6" si="1">E5*#REF!*1.16</f>
        <v>#REF!</v>
      </c>
      <c r="G5" s="22" t="s">
        <v>21</v>
      </c>
      <c r="H5" s="18" t="b">
        <v>0</v>
      </c>
      <c r="I5" s="25" t="s">
        <v>22</v>
      </c>
      <c r="J5" s="18" t="b">
        <v>0</v>
      </c>
      <c r="K5" s="18"/>
      <c r="L5" s="18"/>
      <c r="M5" s="18"/>
      <c r="N5" s="24"/>
    </row>
    <row r="6">
      <c r="A6" s="12"/>
      <c r="B6" s="13" t="s">
        <v>23</v>
      </c>
      <c r="C6" s="13" t="s">
        <v>24</v>
      </c>
      <c r="D6" s="13" t="s">
        <v>25</v>
      </c>
      <c r="E6" s="14">
        <v>500.0</v>
      </c>
      <c r="F6" s="15" t="str">
        <f t="shared" si="1"/>
        <v>#REF!</v>
      </c>
      <c r="G6" s="26"/>
      <c r="H6" s="13" t="b">
        <v>1</v>
      </c>
      <c r="I6" s="17" t="s">
        <v>26</v>
      </c>
      <c r="J6" s="13" t="b">
        <v>1</v>
      </c>
    </row>
    <row r="7">
      <c r="A7" s="12"/>
      <c r="B7" s="13" t="s">
        <v>23</v>
      </c>
      <c r="C7" s="13" t="s">
        <v>24</v>
      </c>
      <c r="D7" s="13" t="s">
        <v>27</v>
      </c>
      <c r="E7" s="14">
        <v>2200.0</v>
      </c>
      <c r="F7" s="15"/>
      <c r="G7" s="26"/>
      <c r="H7" s="12" t="b">
        <v>0</v>
      </c>
      <c r="I7" s="17" t="s">
        <v>28</v>
      </c>
      <c r="J7" s="12" t="b">
        <v>0</v>
      </c>
    </row>
    <row r="8">
      <c r="A8" s="12"/>
      <c r="B8" s="13" t="s">
        <v>23</v>
      </c>
      <c r="C8" s="13" t="s">
        <v>29</v>
      </c>
      <c r="D8" s="13" t="s">
        <v>30</v>
      </c>
      <c r="E8" s="14">
        <v>330.0</v>
      </c>
      <c r="F8" s="15" t="str">
        <f t="shared" ref="F8:F13" si="2">E8*#REF!*1.16</f>
        <v>#REF!</v>
      </c>
      <c r="G8" s="16" t="s">
        <v>31</v>
      </c>
      <c r="H8" s="13" t="b">
        <v>1</v>
      </c>
      <c r="I8" s="17" t="s">
        <v>32</v>
      </c>
      <c r="J8" s="12" t="b">
        <v>0</v>
      </c>
    </row>
    <row r="9">
      <c r="A9" s="13"/>
      <c r="B9" s="13" t="s">
        <v>23</v>
      </c>
      <c r="C9" s="13" t="s">
        <v>29</v>
      </c>
      <c r="D9" s="13" t="s">
        <v>33</v>
      </c>
      <c r="E9" s="14">
        <v>1050.0</v>
      </c>
      <c r="F9" s="15" t="str">
        <f t="shared" si="2"/>
        <v>#REF!</v>
      </c>
      <c r="G9" s="16" t="s">
        <v>34</v>
      </c>
      <c r="H9" s="12" t="b">
        <v>0</v>
      </c>
      <c r="I9" s="17" t="s">
        <v>35</v>
      </c>
      <c r="J9" s="12" t="b">
        <v>0</v>
      </c>
      <c r="K9" s="12"/>
      <c r="L9" s="12"/>
      <c r="M9" s="12"/>
    </row>
    <row r="10">
      <c r="A10" s="13"/>
      <c r="B10" s="13" t="s">
        <v>23</v>
      </c>
      <c r="C10" s="13" t="s">
        <v>29</v>
      </c>
      <c r="D10" s="13" t="s">
        <v>36</v>
      </c>
      <c r="E10" s="14">
        <v>1500.0</v>
      </c>
      <c r="F10" s="15" t="str">
        <f t="shared" si="2"/>
        <v>#REF!</v>
      </c>
      <c r="G10" s="16" t="s">
        <v>34</v>
      </c>
      <c r="H10" s="12" t="b">
        <v>0</v>
      </c>
      <c r="I10" s="17" t="s">
        <v>37</v>
      </c>
      <c r="J10" s="12" t="b">
        <v>0</v>
      </c>
      <c r="K10" s="12"/>
      <c r="L10" s="12"/>
      <c r="M10" s="12"/>
    </row>
    <row r="11">
      <c r="A11" s="12"/>
      <c r="B11" s="13" t="s">
        <v>23</v>
      </c>
      <c r="C11" s="13" t="s">
        <v>38</v>
      </c>
      <c r="D11" s="27" t="s">
        <v>39</v>
      </c>
      <c r="E11" s="14">
        <v>780.0</v>
      </c>
      <c r="F11" s="15" t="str">
        <f t="shared" si="2"/>
        <v>#REF!</v>
      </c>
      <c r="G11" s="16" t="s">
        <v>40</v>
      </c>
      <c r="H11" s="13" t="b">
        <v>1</v>
      </c>
      <c r="I11" s="17" t="s">
        <v>41</v>
      </c>
      <c r="J11" s="12" t="b">
        <v>0</v>
      </c>
    </row>
    <row r="12">
      <c r="A12" s="12"/>
      <c r="B12" s="13" t="s">
        <v>23</v>
      </c>
      <c r="C12" s="13" t="s">
        <v>38</v>
      </c>
      <c r="D12" s="13" t="s">
        <v>42</v>
      </c>
      <c r="E12" s="14">
        <v>799.0</v>
      </c>
      <c r="F12" s="15" t="str">
        <f t="shared" si="2"/>
        <v>#REF!</v>
      </c>
      <c r="G12" s="16" t="s">
        <v>43</v>
      </c>
      <c r="H12" s="13" t="b">
        <v>1</v>
      </c>
      <c r="I12" s="17" t="s">
        <v>44</v>
      </c>
      <c r="J12" s="12" t="b">
        <v>0</v>
      </c>
    </row>
    <row r="13">
      <c r="A13" s="13" t="s">
        <v>45</v>
      </c>
      <c r="B13" s="13" t="s">
        <v>23</v>
      </c>
      <c r="C13" s="13" t="s">
        <v>38</v>
      </c>
      <c r="D13" s="13" t="s">
        <v>46</v>
      </c>
      <c r="E13" s="14">
        <v>850.0</v>
      </c>
      <c r="F13" s="15" t="str">
        <f t="shared" si="2"/>
        <v>#REF!</v>
      </c>
      <c r="G13" s="16" t="s">
        <v>47</v>
      </c>
      <c r="H13" s="13" t="b">
        <v>1</v>
      </c>
      <c r="I13" s="17" t="s">
        <v>48</v>
      </c>
      <c r="J13" s="12" t="b">
        <v>0</v>
      </c>
      <c r="K13" s="12"/>
      <c r="L13" s="12"/>
      <c r="M13" s="12"/>
    </row>
    <row r="14">
      <c r="A14" s="13" t="s">
        <v>45</v>
      </c>
      <c r="B14" s="13" t="s">
        <v>23</v>
      </c>
      <c r="C14" s="13" t="s">
        <v>38</v>
      </c>
      <c r="D14" s="13" t="s">
        <v>49</v>
      </c>
      <c r="E14" s="14">
        <v>900.0</v>
      </c>
      <c r="F14" s="15"/>
      <c r="G14" s="16" t="s">
        <v>50</v>
      </c>
      <c r="H14" s="12" t="b">
        <v>0</v>
      </c>
      <c r="I14" s="17" t="s">
        <v>51</v>
      </c>
      <c r="J14" s="12" t="b">
        <v>0</v>
      </c>
    </row>
    <row r="15">
      <c r="A15" s="13"/>
      <c r="B15" s="13" t="s">
        <v>23</v>
      </c>
      <c r="C15" s="13" t="s">
        <v>38</v>
      </c>
      <c r="D15" s="13" t="s">
        <v>52</v>
      </c>
      <c r="E15" s="14">
        <v>1100.0</v>
      </c>
      <c r="F15" s="15" t="str">
        <f>E15*#REF!*1.16</f>
        <v>#REF!</v>
      </c>
      <c r="G15" s="26"/>
      <c r="H15" s="13" t="b">
        <v>1</v>
      </c>
      <c r="I15" s="17" t="s">
        <v>53</v>
      </c>
      <c r="J15" s="12" t="b">
        <v>0</v>
      </c>
      <c r="K15" s="12"/>
      <c r="L15" s="12"/>
      <c r="M15" s="12"/>
    </row>
    <row r="16">
      <c r="A16" s="12"/>
      <c r="B16" s="13" t="s">
        <v>23</v>
      </c>
      <c r="C16" s="13" t="s">
        <v>38</v>
      </c>
      <c r="D16" s="13" t="s">
        <v>54</v>
      </c>
      <c r="E16" s="14">
        <v>1200.0</v>
      </c>
      <c r="F16" s="15"/>
      <c r="G16" s="16" t="s">
        <v>55</v>
      </c>
      <c r="H16" s="13" t="b">
        <v>1</v>
      </c>
      <c r="I16" s="17" t="s">
        <v>56</v>
      </c>
      <c r="J16" s="12" t="b">
        <v>0</v>
      </c>
    </row>
    <row r="17">
      <c r="A17" s="12"/>
      <c r="B17" s="13" t="s">
        <v>23</v>
      </c>
      <c r="C17" s="13" t="s">
        <v>38</v>
      </c>
      <c r="D17" s="13" t="s">
        <v>57</v>
      </c>
      <c r="E17" s="14">
        <v>1400.0</v>
      </c>
      <c r="F17" s="15"/>
      <c r="G17" s="26"/>
      <c r="H17" s="12" t="b">
        <v>0</v>
      </c>
      <c r="I17" s="17" t="s">
        <v>58</v>
      </c>
      <c r="J17" s="12" t="b">
        <v>0</v>
      </c>
    </row>
    <row r="18">
      <c r="A18" s="13" t="s">
        <v>45</v>
      </c>
      <c r="B18" s="13" t="s">
        <v>23</v>
      </c>
      <c r="C18" s="13" t="s">
        <v>38</v>
      </c>
      <c r="D18" s="13" t="s">
        <v>59</v>
      </c>
      <c r="E18" s="14">
        <v>1450.0</v>
      </c>
      <c r="F18" s="15"/>
      <c r="G18" s="26"/>
      <c r="H18" s="12" t="b">
        <v>0</v>
      </c>
      <c r="I18" s="17" t="s">
        <v>60</v>
      </c>
      <c r="J18" s="12" t="b">
        <v>0</v>
      </c>
    </row>
    <row r="19">
      <c r="A19" s="18"/>
      <c r="B19" s="19" t="s">
        <v>23</v>
      </c>
      <c r="C19" s="19" t="s">
        <v>61</v>
      </c>
      <c r="D19" s="19" t="s">
        <v>62</v>
      </c>
      <c r="E19" s="20">
        <v>200.0</v>
      </c>
      <c r="F19" s="21">
        <f>E19*K17*1.16</f>
        <v>0</v>
      </c>
      <c r="G19" s="22" t="s">
        <v>34</v>
      </c>
      <c r="H19" s="18" t="b">
        <v>0</v>
      </c>
      <c r="I19" s="23"/>
      <c r="J19" s="18" t="b">
        <v>0</v>
      </c>
      <c r="K19" s="24"/>
      <c r="L19" s="24"/>
      <c r="M19" s="24"/>
      <c r="N19" s="24"/>
    </row>
    <row r="20">
      <c r="A20" s="18"/>
      <c r="B20" s="19" t="s">
        <v>23</v>
      </c>
      <c r="C20" s="19" t="s">
        <v>61</v>
      </c>
      <c r="D20" s="19" t="s">
        <v>63</v>
      </c>
      <c r="E20" s="20">
        <v>250.0</v>
      </c>
      <c r="F20" s="21" t="str">
        <f>E20*#REF!*1.16</f>
        <v>#REF!</v>
      </c>
      <c r="G20" s="22" t="s">
        <v>21</v>
      </c>
      <c r="H20" s="18" t="b">
        <v>0</v>
      </c>
      <c r="I20" s="23"/>
      <c r="J20" s="18" t="b">
        <v>0</v>
      </c>
      <c r="K20" s="24"/>
      <c r="L20" s="24"/>
      <c r="M20" s="24"/>
      <c r="N20" s="24"/>
    </row>
    <row r="21">
      <c r="A21" s="12"/>
      <c r="B21" s="13" t="s">
        <v>23</v>
      </c>
      <c r="C21" s="12"/>
      <c r="D21" s="13" t="s">
        <v>64</v>
      </c>
      <c r="E21" s="14">
        <v>250.0</v>
      </c>
      <c r="F21" s="15"/>
      <c r="G21" s="26"/>
      <c r="H21" s="12" t="b">
        <v>0</v>
      </c>
      <c r="I21" s="28"/>
      <c r="J21" s="12" t="b">
        <v>0</v>
      </c>
    </row>
    <row r="22">
      <c r="A22" s="18"/>
      <c r="B22" s="19" t="s">
        <v>23</v>
      </c>
      <c r="C22" s="18"/>
      <c r="D22" s="19" t="s">
        <v>65</v>
      </c>
      <c r="E22" s="20">
        <v>600.0</v>
      </c>
      <c r="F22" s="21" t="str">
        <f t="shared" ref="F22:F28" si="3">E22*#REF!*1.16</f>
        <v>#REF!</v>
      </c>
      <c r="G22" s="22" t="s">
        <v>66</v>
      </c>
      <c r="H22" s="19" t="b">
        <v>1</v>
      </c>
      <c r="I22" s="25" t="s">
        <v>67</v>
      </c>
      <c r="J22" s="18" t="b">
        <v>0</v>
      </c>
      <c r="K22" s="24"/>
      <c r="L22" s="24"/>
      <c r="M22" s="24"/>
      <c r="N22" s="24"/>
    </row>
    <row r="23">
      <c r="A23" s="19"/>
      <c r="B23" s="19" t="s">
        <v>23</v>
      </c>
      <c r="C23" s="19"/>
      <c r="D23" s="19" t="s">
        <v>68</v>
      </c>
      <c r="E23" s="20">
        <v>750.0</v>
      </c>
      <c r="F23" s="15" t="str">
        <f t="shared" si="3"/>
        <v>#REF!</v>
      </c>
      <c r="G23" s="22" t="s">
        <v>69</v>
      </c>
      <c r="H23" s="19" t="b">
        <v>1</v>
      </c>
      <c r="I23" s="25" t="s">
        <v>70</v>
      </c>
      <c r="J23" s="18" t="b">
        <v>0</v>
      </c>
      <c r="K23" s="18"/>
      <c r="L23" s="18"/>
      <c r="M23" s="18"/>
      <c r="N23" s="24"/>
    </row>
    <row r="24">
      <c r="A24" s="12"/>
      <c r="B24" s="13" t="s">
        <v>23</v>
      </c>
      <c r="C24" s="12"/>
      <c r="D24" s="13" t="s">
        <v>71</v>
      </c>
      <c r="E24" s="14">
        <v>750.0</v>
      </c>
      <c r="F24" s="15" t="str">
        <f t="shared" si="3"/>
        <v>#REF!</v>
      </c>
      <c r="G24" s="16" t="s">
        <v>72</v>
      </c>
      <c r="H24" s="13" t="b">
        <v>1</v>
      </c>
      <c r="I24" s="17" t="s">
        <v>73</v>
      </c>
      <c r="J24" s="12" t="b">
        <v>0</v>
      </c>
    </row>
    <row r="25">
      <c r="A25" s="19"/>
      <c r="B25" s="19" t="s">
        <v>23</v>
      </c>
      <c r="C25" s="19"/>
      <c r="D25" s="13" t="s">
        <v>74</v>
      </c>
      <c r="E25" s="20">
        <v>850.0</v>
      </c>
      <c r="F25" s="15" t="str">
        <f t="shared" si="3"/>
        <v>#REF!</v>
      </c>
      <c r="G25" s="22" t="s">
        <v>75</v>
      </c>
      <c r="H25" s="18" t="b">
        <v>0</v>
      </c>
      <c r="I25" s="25" t="s">
        <v>76</v>
      </c>
      <c r="J25" s="18" t="b">
        <v>0</v>
      </c>
      <c r="K25" s="18"/>
      <c r="L25" s="18"/>
      <c r="M25" s="18"/>
      <c r="N25" s="24"/>
    </row>
    <row r="26">
      <c r="A26" s="19"/>
      <c r="B26" s="19" t="s">
        <v>23</v>
      </c>
      <c r="C26" s="18"/>
      <c r="D26" s="19" t="s">
        <v>77</v>
      </c>
      <c r="E26" s="20">
        <v>900.0</v>
      </c>
      <c r="F26" s="15" t="str">
        <f t="shared" si="3"/>
        <v>#REF!</v>
      </c>
      <c r="G26" s="22" t="s">
        <v>78</v>
      </c>
      <c r="H26" s="19" t="b">
        <v>1</v>
      </c>
      <c r="I26" s="25" t="s">
        <v>79</v>
      </c>
      <c r="J26" s="18" t="b">
        <v>0</v>
      </c>
      <c r="K26" s="18"/>
      <c r="L26" s="18"/>
      <c r="M26" s="18"/>
      <c r="N26" s="24"/>
    </row>
    <row r="27">
      <c r="A27" s="12"/>
      <c r="B27" s="13" t="s">
        <v>23</v>
      </c>
      <c r="C27" s="12"/>
      <c r="D27" s="13" t="s">
        <v>80</v>
      </c>
      <c r="E27" s="14">
        <v>900.0</v>
      </c>
      <c r="F27" s="21" t="str">
        <f t="shared" si="3"/>
        <v>#REF!</v>
      </c>
      <c r="G27" s="26"/>
      <c r="H27" s="13" t="b">
        <v>1</v>
      </c>
      <c r="I27" s="28"/>
      <c r="J27" s="12" t="b">
        <v>0</v>
      </c>
    </row>
    <row r="28">
      <c r="A28" s="12"/>
      <c r="B28" s="13" t="s">
        <v>23</v>
      </c>
      <c r="C28" s="12"/>
      <c r="D28" s="13" t="s">
        <v>81</v>
      </c>
      <c r="E28" s="14">
        <v>1000.0</v>
      </c>
      <c r="F28" s="15" t="str">
        <f t="shared" si="3"/>
        <v>#REF!</v>
      </c>
      <c r="G28" s="16" t="s">
        <v>82</v>
      </c>
      <c r="H28" s="13" t="b">
        <v>1</v>
      </c>
      <c r="I28" s="17" t="s">
        <v>83</v>
      </c>
      <c r="J28" s="12" t="b">
        <v>0</v>
      </c>
    </row>
    <row r="29">
      <c r="A29" s="19"/>
      <c r="B29" s="19" t="s">
        <v>23</v>
      </c>
      <c r="C29" s="19"/>
      <c r="D29" s="19" t="s">
        <v>84</v>
      </c>
      <c r="E29" s="20">
        <v>1000.0</v>
      </c>
      <c r="F29" s="15">
        <f>E29*K28*1.16</f>
        <v>0</v>
      </c>
      <c r="G29" s="29"/>
      <c r="H29" s="18" t="b">
        <v>0</v>
      </c>
      <c r="I29" s="23"/>
      <c r="J29" s="18" t="b">
        <v>0</v>
      </c>
      <c r="K29" s="18"/>
      <c r="L29" s="18"/>
      <c r="M29" s="18"/>
      <c r="N29" s="24"/>
    </row>
    <row r="30">
      <c r="A30" s="13" t="s">
        <v>45</v>
      </c>
      <c r="B30" s="13" t="s">
        <v>23</v>
      </c>
      <c r="C30" s="12"/>
      <c r="D30" s="13" t="s">
        <v>85</v>
      </c>
      <c r="E30" s="14">
        <v>1099.0</v>
      </c>
      <c r="F30" s="15"/>
      <c r="G30" s="26"/>
      <c r="H30" s="13" t="b">
        <v>1</v>
      </c>
      <c r="I30" s="30" t="s">
        <v>86</v>
      </c>
      <c r="J30" s="12" t="b">
        <v>0</v>
      </c>
    </row>
    <row r="31">
      <c r="A31" s="12"/>
      <c r="B31" s="13" t="s">
        <v>23</v>
      </c>
      <c r="C31" s="12"/>
      <c r="D31" s="13" t="s">
        <v>87</v>
      </c>
      <c r="E31" s="14">
        <v>1100.0</v>
      </c>
      <c r="F31" s="15" t="str">
        <f>E31*#REF!*1.16</f>
        <v>#REF!</v>
      </c>
      <c r="G31" s="26"/>
      <c r="H31" s="13" t="b">
        <v>1</v>
      </c>
      <c r="I31" s="17" t="s">
        <v>88</v>
      </c>
      <c r="J31" s="12" t="b">
        <v>0</v>
      </c>
    </row>
    <row r="32">
      <c r="A32" s="13" t="s">
        <v>89</v>
      </c>
      <c r="B32" s="13" t="s">
        <v>23</v>
      </c>
      <c r="C32" s="12"/>
      <c r="D32" s="13" t="s">
        <v>90</v>
      </c>
      <c r="E32" s="14">
        <v>1200.0</v>
      </c>
      <c r="F32" s="15"/>
      <c r="G32" s="26"/>
      <c r="H32" s="13" t="b">
        <v>1</v>
      </c>
      <c r="I32" s="17" t="s">
        <v>91</v>
      </c>
      <c r="J32" s="12" t="b">
        <v>0</v>
      </c>
    </row>
    <row r="33">
      <c r="A33" s="13" t="s">
        <v>89</v>
      </c>
      <c r="B33" s="13" t="s">
        <v>23</v>
      </c>
      <c r="C33" s="12"/>
      <c r="D33" s="13" t="s">
        <v>92</v>
      </c>
      <c r="E33" s="14">
        <v>1500.0</v>
      </c>
      <c r="F33" s="15"/>
      <c r="G33" s="16" t="s">
        <v>93</v>
      </c>
      <c r="H33" s="13" t="b">
        <v>1</v>
      </c>
      <c r="I33" s="17" t="s">
        <v>94</v>
      </c>
      <c r="J33" s="12" t="b">
        <v>0</v>
      </c>
    </row>
    <row r="34">
      <c r="A34" s="13" t="s">
        <v>45</v>
      </c>
      <c r="B34" s="13" t="s">
        <v>23</v>
      </c>
      <c r="C34" s="12"/>
      <c r="D34" s="13" t="s">
        <v>95</v>
      </c>
      <c r="E34" s="14">
        <v>2200.0</v>
      </c>
      <c r="F34" s="15"/>
      <c r="G34" s="16" t="s">
        <v>96</v>
      </c>
      <c r="H34" s="13" t="b">
        <v>1</v>
      </c>
      <c r="I34" s="17" t="s">
        <v>97</v>
      </c>
      <c r="J34" s="12" t="b">
        <v>0</v>
      </c>
    </row>
    <row r="35">
      <c r="A35" s="19"/>
      <c r="B35" s="19" t="s">
        <v>23</v>
      </c>
      <c r="C35" s="19"/>
      <c r="D35" s="19" t="s">
        <v>98</v>
      </c>
      <c r="E35" s="20">
        <v>2200.0</v>
      </c>
      <c r="F35" s="15" t="str">
        <f t="shared" ref="F35:F38" si="4">E35*#REF!*1.16</f>
        <v>#REF!</v>
      </c>
      <c r="G35" s="22" t="s">
        <v>99</v>
      </c>
      <c r="H35" s="19" t="b">
        <v>1</v>
      </c>
      <c r="I35" s="23"/>
      <c r="J35" s="18" t="b">
        <v>0</v>
      </c>
      <c r="K35" s="18"/>
      <c r="L35" s="18"/>
      <c r="M35" s="18"/>
      <c r="N35" s="24"/>
    </row>
    <row r="36">
      <c r="A36" s="13" t="s">
        <v>45</v>
      </c>
      <c r="B36" s="13" t="s">
        <v>23</v>
      </c>
      <c r="C36" s="13"/>
      <c r="D36" s="13" t="s">
        <v>100</v>
      </c>
      <c r="E36" s="14">
        <v>2400.0</v>
      </c>
      <c r="F36" s="21" t="str">
        <f t="shared" si="4"/>
        <v>#REF!</v>
      </c>
      <c r="G36" s="26"/>
      <c r="H36" s="13" t="b">
        <v>1</v>
      </c>
      <c r="I36" s="17" t="s">
        <v>101</v>
      </c>
      <c r="J36" s="13" t="b">
        <v>1</v>
      </c>
    </row>
    <row r="37">
      <c r="A37" s="13"/>
      <c r="B37" s="13" t="s">
        <v>23</v>
      </c>
      <c r="C37" s="12"/>
      <c r="D37" s="13" t="s">
        <v>102</v>
      </c>
      <c r="E37" s="14">
        <v>2500.0</v>
      </c>
      <c r="F37" s="15" t="str">
        <f t="shared" si="4"/>
        <v>#REF!</v>
      </c>
      <c r="G37" s="16" t="s">
        <v>103</v>
      </c>
      <c r="H37" s="13" t="b">
        <v>1</v>
      </c>
      <c r="I37" s="17" t="s">
        <v>104</v>
      </c>
      <c r="J37" s="12" t="b">
        <v>0</v>
      </c>
    </row>
    <row r="38">
      <c r="A38" s="12"/>
      <c r="B38" s="13" t="s">
        <v>23</v>
      </c>
      <c r="C38" s="12"/>
      <c r="D38" s="13" t="s">
        <v>105</v>
      </c>
      <c r="E38" s="14">
        <v>2800.0</v>
      </c>
      <c r="F38" s="15" t="str">
        <f t="shared" si="4"/>
        <v>#REF!</v>
      </c>
      <c r="G38" s="26"/>
      <c r="H38" s="13" t="b">
        <v>1</v>
      </c>
      <c r="I38" s="17" t="s">
        <v>106</v>
      </c>
      <c r="J38" s="13" t="b">
        <v>1</v>
      </c>
    </row>
    <row r="39">
      <c r="A39" s="13" t="s">
        <v>45</v>
      </c>
      <c r="B39" s="13" t="s">
        <v>23</v>
      </c>
      <c r="C39" s="12"/>
      <c r="D39" s="13" t="s">
        <v>107</v>
      </c>
      <c r="E39" s="14">
        <v>3800.0</v>
      </c>
      <c r="F39" s="15">
        <f>E39*K27*1.16</f>
        <v>0</v>
      </c>
      <c r="G39" s="16" t="s">
        <v>108</v>
      </c>
      <c r="H39" s="13" t="b">
        <v>1</v>
      </c>
      <c r="I39" s="17" t="s">
        <v>109</v>
      </c>
      <c r="J39" s="13" t="b">
        <v>1</v>
      </c>
    </row>
    <row r="40">
      <c r="A40" s="12"/>
      <c r="B40" s="13" t="s">
        <v>23</v>
      </c>
      <c r="C40" s="12"/>
      <c r="D40" s="13" t="s">
        <v>110</v>
      </c>
      <c r="E40" s="14">
        <v>4200.0</v>
      </c>
      <c r="F40" s="15"/>
      <c r="G40" s="16" t="s">
        <v>111</v>
      </c>
      <c r="H40" s="12" t="b">
        <v>0</v>
      </c>
      <c r="I40" s="17" t="s">
        <v>112</v>
      </c>
      <c r="J40" s="12" t="b">
        <v>0</v>
      </c>
    </row>
    <row r="41">
      <c r="A41" s="13" t="s">
        <v>89</v>
      </c>
      <c r="B41" s="13" t="s">
        <v>113</v>
      </c>
      <c r="C41" s="13" t="s">
        <v>24</v>
      </c>
      <c r="D41" s="13" t="s">
        <v>114</v>
      </c>
      <c r="E41" s="14">
        <v>950.0</v>
      </c>
      <c r="F41" s="15" t="str">
        <f t="shared" ref="F41:F44" si="5">E41*#REF!*1.16</f>
        <v>#REF!</v>
      </c>
      <c r="G41" s="16" t="s">
        <v>115</v>
      </c>
      <c r="H41" s="13" t="b">
        <v>1</v>
      </c>
      <c r="I41" s="28"/>
      <c r="J41" s="12" t="b">
        <v>0</v>
      </c>
      <c r="K41" s="12"/>
      <c r="L41" s="12"/>
      <c r="M41" s="12"/>
    </row>
    <row r="42">
      <c r="A42" s="13" t="s">
        <v>45</v>
      </c>
      <c r="B42" s="13" t="s">
        <v>113</v>
      </c>
      <c r="C42" s="13" t="s">
        <v>38</v>
      </c>
      <c r="D42" s="13" t="s">
        <v>116</v>
      </c>
      <c r="E42" s="14">
        <v>1000.0</v>
      </c>
      <c r="F42" s="15" t="str">
        <f t="shared" si="5"/>
        <v>#REF!</v>
      </c>
      <c r="G42" s="26"/>
      <c r="H42" s="12" t="b">
        <v>0</v>
      </c>
      <c r="I42" s="17" t="s">
        <v>117</v>
      </c>
      <c r="J42" s="12" t="b">
        <v>0</v>
      </c>
    </row>
    <row r="43">
      <c r="A43" s="12"/>
      <c r="B43" s="13" t="s">
        <v>113</v>
      </c>
      <c r="C43" s="12"/>
      <c r="D43" s="13" t="s">
        <v>118</v>
      </c>
      <c r="E43" s="14">
        <v>350.0</v>
      </c>
      <c r="F43" s="15" t="str">
        <f t="shared" si="5"/>
        <v>#REF!</v>
      </c>
      <c r="G43" s="16" t="s">
        <v>66</v>
      </c>
      <c r="H43" s="13" t="b">
        <v>1</v>
      </c>
      <c r="I43" s="30" t="s">
        <v>119</v>
      </c>
      <c r="J43" s="12" t="b">
        <v>0</v>
      </c>
    </row>
    <row r="44">
      <c r="A44" s="13"/>
      <c r="B44" s="13" t="s">
        <v>113</v>
      </c>
      <c r="C44" s="13"/>
      <c r="D44" s="13" t="s">
        <v>120</v>
      </c>
      <c r="E44" s="14">
        <v>700.0</v>
      </c>
      <c r="F44" s="15" t="str">
        <f t="shared" si="5"/>
        <v>#REF!</v>
      </c>
      <c r="G44" s="16" t="s">
        <v>121</v>
      </c>
      <c r="H44" s="13" t="b">
        <v>1</v>
      </c>
      <c r="I44" s="17" t="s">
        <v>122</v>
      </c>
      <c r="J44" s="13" t="b">
        <v>1</v>
      </c>
      <c r="K44" s="12"/>
      <c r="L44" s="12"/>
      <c r="M44" s="12"/>
    </row>
    <row r="45">
      <c r="A45" s="13" t="s">
        <v>89</v>
      </c>
      <c r="B45" s="13" t="s">
        <v>113</v>
      </c>
      <c r="C45" s="12"/>
      <c r="D45" s="13" t="s">
        <v>123</v>
      </c>
      <c r="E45" s="14">
        <v>850.0</v>
      </c>
      <c r="F45" s="15"/>
      <c r="G45" s="26"/>
      <c r="H45" s="12" t="b">
        <v>0</v>
      </c>
      <c r="I45" s="28"/>
      <c r="J45" s="12" t="b">
        <v>0</v>
      </c>
    </row>
    <row r="46">
      <c r="A46" s="12"/>
      <c r="B46" s="13" t="s">
        <v>113</v>
      </c>
      <c r="C46" s="12"/>
      <c r="D46" s="31" t="s">
        <v>124</v>
      </c>
      <c r="E46" s="14">
        <v>1100.0</v>
      </c>
      <c r="F46" s="15" t="str">
        <f t="shared" ref="F46:F51" si="6">E46*#REF!*1.16</f>
        <v>#REF!</v>
      </c>
      <c r="G46" s="16" t="s">
        <v>111</v>
      </c>
      <c r="H46" s="13" t="b">
        <v>1</v>
      </c>
      <c r="I46" s="17" t="s">
        <v>125</v>
      </c>
      <c r="J46" s="13" t="b">
        <v>1</v>
      </c>
    </row>
    <row r="47">
      <c r="A47" s="13"/>
      <c r="B47" s="13" t="s">
        <v>113</v>
      </c>
      <c r="C47" s="12"/>
      <c r="D47" s="13" t="s">
        <v>126</v>
      </c>
      <c r="E47" s="14">
        <v>1500.0</v>
      </c>
      <c r="F47" s="15" t="str">
        <f t="shared" si="6"/>
        <v>#REF!</v>
      </c>
      <c r="G47" s="26"/>
      <c r="H47" s="13" t="b">
        <v>1</v>
      </c>
      <c r="I47" s="17" t="s">
        <v>127</v>
      </c>
      <c r="J47" s="12" t="b">
        <v>0</v>
      </c>
      <c r="K47" s="12"/>
      <c r="L47" s="12"/>
      <c r="M47" s="12"/>
    </row>
    <row r="48">
      <c r="A48" s="13" t="s">
        <v>89</v>
      </c>
      <c r="B48" s="13" t="s">
        <v>113</v>
      </c>
      <c r="C48" s="12"/>
      <c r="D48" s="13" t="s">
        <v>128</v>
      </c>
      <c r="E48" s="14">
        <v>2000.0</v>
      </c>
      <c r="F48" s="15" t="str">
        <f t="shared" si="6"/>
        <v>#REF!</v>
      </c>
      <c r="G48" s="16" t="s">
        <v>129</v>
      </c>
      <c r="H48" s="13" t="b">
        <v>1</v>
      </c>
      <c r="I48" s="30" t="s">
        <v>130</v>
      </c>
      <c r="J48" s="13" t="b">
        <v>1</v>
      </c>
      <c r="K48" s="12"/>
      <c r="L48" s="12"/>
      <c r="M48" s="12"/>
    </row>
    <row r="49">
      <c r="A49" s="13" t="s">
        <v>89</v>
      </c>
      <c r="B49" s="13" t="s">
        <v>113</v>
      </c>
      <c r="C49" s="12"/>
      <c r="D49" s="13" t="s">
        <v>131</v>
      </c>
      <c r="E49" s="14">
        <v>2400.0</v>
      </c>
      <c r="F49" s="15" t="str">
        <f t="shared" si="6"/>
        <v>#REF!</v>
      </c>
      <c r="G49" s="16" t="s">
        <v>111</v>
      </c>
      <c r="H49" s="13" t="b">
        <v>1</v>
      </c>
      <c r="I49" s="28"/>
      <c r="J49" s="13" t="b">
        <v>1</v>
      </c>
    </row>
    <row r="50">
      <c r="A50" s="13" t="s">
        <v>89</v>
      </c>
      <c r="B50" s="13" t="s">
        <v>113</v>
      </c>
      <c r="C50" s="12"/>
      <c r="D50" s="13" t="s">
        <v>132</v>
      </c>
      <c r="E50" s="14">
        <v>2800.0</v>
      </c>
      <c r="F50" s="15" t="str">
        <f t="shared" si="6"/>
        <v>#REF!</v>
      </c>
      <c r="G50" s="16" t="s">
        <v>111</v>
      </c>
      <c r="H50" s="13" t="b">
        <v>1</v>
      </c>
      <c r="I50" s="17" t="s">
        <v>133</v>
      </c>
      <c r="J50" s="13" t="b">
        <v>1</v>
      </c>
    </row>
    <row r="51">
      <c r="A51" s="12"/>
      <c r="B51" s="13" t="s">
        <v>113</v>
      </c>
      <c r="C51" s="12"/>
      <c r="D51" s="13" t="s">
        <v>134</v>
      </c>
      <c r="E51" s="14">
        <v>3350.0</v>
      </c>
      <c r="F51" s="15" t="str">
        <f t="shared" si="6"/>
        <v>#REF!</v>
      </c>
      <c r="G51" s="16" t="s">
        <v>111</v>
      </c>
      <c r="H51" s="13" t="b">
        <v>1</v>
      </c>
      <c r="I51" s="30" t="s">
        <v>135</v>
      </c>
      <c r="J51" s="13" t="b">
        <v>1</v>
      </c>
    </row>
    <row r="52">
      <c r="A52" s="32" t="s">
        <v>89</v>
      </c>
      <c r="B52" s="13" t="s">
        <v>113</v>
      </c>
      <c r="C52" s="12"/>
      <c r="D52" s="13" t="s">
        <v>136</v>
      </c>
      <c r="E52" s="14">
        <v>4400.0</v>
      </c>
      <c r="F52" s="15">
        <f>E52*K1*1.16</f>
        <v>7145600</v>
      </c>
      <c r="G52" s="26"/>
      <c r="H52" s="13" t="b">
        <v>1</v>
      </c>
      <c r="I52" s="17" t="s">
        <v>137</v>
      </c>
      <c r="J52" s="13" t="b">
        <v>1</v>
      </c>
    </row>
    <row r="53">
      <c r="A53" s="18"/>
      <c r="B53" s="19" t="s">
        <v>138</v>
      </c>
      <c r="C53" s="19"/>
      <c r="D53" s="19" t="s">
        <v>139</v>
      </c>
      <c r="E53" s="20">
        <v>700.0</v>
      </c>
      <c r="F53" s="15">
        <f>E53*K51*1.16</f>
        <v>0</v>
      </c>
      <c r="G53" s="22" t="s">
        <v>47</v>
      </c>
      <c r="H53" s="19" t="b">
        <v>1</v>
      </c>
      <c r="I53" s="23"/>
      <c r="J53" s="18" t="b">
        <v>0</v>
      </c>
      <c r="K53" s="18"/>
      <c r="L53" s="18"/>
      <c r="M53" s="18"/>
      <c r="N53" s="24"/>
    </row>
    <row r="54">
      <c r="A54" s="18"/>
      <c r="B54" s="19" t="s">
        <v>138</v>
      </c>
      <c r="C54" s="19"/>
      <c r="D54" s="19" t="s">
        <v>140</v>
      </c>
      <c r="E54" s="20">
        <v>1230.0</v>
      </c>
      <c r="F54" s="15">
        <f>E54*K53*1.16</f>
        <v>0</v>
      </c>
      <c r="G54" s="22" t="s">
        <v>47</v>
      </c>
      <c r="H54" s="19" t="b">
        <v>1</v>
      </c>
      <c r="I54" s="23"/>
      <c r="J54" s="18" t="b">
        <v>0</v>
      </c>
      <c r="K54" s="18"/>
      <c r="L54" s="18"/>
      <c r="M54" s="18"/>
      <c r="N54" s="24"/>
    </row>
    <row r="55">
      <c r="A55" s="33"/>
      <c r="B55" s="34" t="s">
        <v>138</v>
      </c>
      <c r="C55" s="35"/>
      <c r="D55" s="35" t="s">
        <v>141</v>
      </c>
      <c r="E55" s="36">
        <v>1600.0</v>
      </c>
      <c r="F55" s="37" t="str">
        <f>E55*#REF!*1.16</f>
        <v>#REF!</v>
      </c>
      <c r="G55" s="38" t="s">
        <v>47</v>
      </c>
      <c r="H55" s="34" t="b">
        <v>1</v>
      </c>
      <c r="I55" s="39"/>
      <c r="J55" s="33" t="b">
        <v>0</v>
      </c>
      <c r="K55" s="33"/>
      <c r="L55" s="33"/>
      <c r="M55" s="33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</row>
    <row r="56">
      <c r="A56" s="41" t="s">
        <v>45</v>
      </c>
      <c r="B56" s="41" t="s">
        <v>142</v>
      </c>
      <c r="C56" s="42"/>
      <c r="D56" s="41" t="s">
        <v>143</v>
      </c>
      <c r="E56" s="43">
        <v>1300.0</v>
      </c>
      <c r="F56" s="44"/>
      <c r="G56" s="45"/>
      <c r="H56" s="41" t="b">
        <v>1</v>
      </c>
      <c r="I56" s="46" t="s">
        <v>144</v>
      </c>
      <c r="J56" s="42" t="b">
        <v>0</v>
      </c>
      <c r="O56" s="47"/>
      <c r="P56" s="47"/>
      <c r="Q56" s="47"/>
      <c r="R56" s="47"/>
      <c r="S56" s="47"/>
      <c r="T56" s="47"/>
      <c r="U56" s="47"/>
      <c r="V56" s="47"/>
      <c r="W56" s="47"/>
      <c r="X56" s="47"/>
    </row>
    <row r="57">
      <c r="A57" s="33"/>
      <c r="B57" s="34" t="s">
        <v>142</v>
      </c>
      <c r="C57" s="33"/>
      <c r="D57" s="34" t="s">
        <v>145</v>
      </c>
      <c r="E57" s="36">
        <v>1400.0</v>
      </c>
      <c r="F57" s="37"/>
      <c r="G57" s="38" t="s">
        <v>146</v>
      </c>
      <c r="H57" s="34" t="b">
        <v>1</v>
      </c>
      <c r="I57" s="48" t="s">
        <v>147</v>
      </c>
      <c r="J57" s="33" t="b">
        <v>0</v>
      </c>
      <c r="O57" s="40"/>
      <c r="P57" s="40"/>
      <c r="Q57" s="40"/>
      <c r="R57" s="40"/>
      <c r="S57" s="40"/>
      <c r="T57" s="40"/>
      <c r="U57" s="40"/>
      <c r="V57" s="40"/>
      <c r="W57" s="40"/>
      <c r="X57" s="40"/>
    </row>
    <row r="58">
      <c r="A58" s="41" t="s">
        <v>89</v>
      </c>
      <c r="B58" s="41" t="s">
        <v>142</v>
      </c>
      <c r="C58" s="41"/>
      <c r="D58" s="41" t="s">
        <v>148</v>
      </c>
      <c r="E58" s="43">
        <v>2600.0</v>
      </c>
      <c r="F58" s="44" t="str">
        <f>E58*#REF!*1.16</f>
        <v>#REF!</v>
      </c>
      <c r="G58" s="49" t="s">
        <v>47</v>
      </c>
      <c r="H58" s="41" t="b">
        <v>1</v>
      </c>
      <c r="I58" s="46" t="s">
        <v>149</v>
      </c>
      <c r="J58" s="42" t="b">
        <v>0</v>
      </c>
      <c r="K58" s="42"/>
      <c r="L58" s="42"/>
      <c r="M58" s="42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</row>
    <row r="59">
      <c r="A59" s="34" t="s">
        <v>89</v>
      </c>
      <c r="B59" s="34" t="s">
        <v>142</v>
      </c>
      <c r="C59" s="33"/>
      <c r="D59" s="34" t="s">
        <v>150</v>
      </c>
      <c r="E59" s="36">
        <v>2700.0</v>
      </c>
      <c r="F59" s="37">
        <f>E59*K4*1.16</f>
        <v>0</v>
      </c>
      <c r="G59" s="38" t="s">
        <v>151</v>
      </c>
      <c r="H59" s="34" t="b">
        <v>1</v>
      </c>
      <c r="I59" s="48" t="s">
        <v>152</v>
      </c>
      <c r="J59" s="34" t="b">
        <v>1</v>
      </c>
      <c r="O59" s="40"/>
      <c r="P59" s="40"/>
      <c r="Q59" s="40"/>
      <c r="R59" s="40"/>
      <c r="S59" s="40"/>
      <c r="T59" s="40"/>
      <c r="U59" s="40"/>
      <c r="V59" s="40"/>
      <c r="W59" s="40"/>
      <c r="X59" s="40"/>
    </row>
    <row r="60">
      <c r="A60" s="41" t="s">
        <v>89</v>
      </c>
      <c r="B60" s="41" t="s">
        <v>142</v>
      </c>
      <c r="C60" s="42"/>
      <c r="D60" s="41" t="s">
        <v>153</v>
      </c>
      <c r="E60" s="43">
        <v>2900.0</v>
      </c>
      <c r="F60" s="44" t="str">
        <f t="shared" ref="F60:F65" si="7">E60*#REF!*1.16</f>
        <v>#REF!</v>
      </c>
      <c r="G60" s="49" t="s">
        <v>151</v>
      </c>
      <c r="H60" s="41" t="b">
        <v>1</v>
      </c>
      <c r="I60" s="46" t="s">
        <v>154</v>
      </c>
      <c r="J60" s="42" t="b">
        <v>0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</row>
    <row r="61">
      <c r="A61" s="34"/>
      <c r="B61" s="34" t="s">
        <v>142</v>
      </c>
      <c r="C61" s="34"/>
      <c r="D61" s="34" t="s">
        <v>155</v>
      </c>
      <c r="E61" s="36">
        <v>3400.0</v>
      </c>
      <c r="F61" s="37" t="str">
        <f t="shared" si="7"/>
        <v>#REF!</v>
      </c>
      <c r="G61" s="38" t="s">
        <v>47</v>
      </c>
      <c r="H61" s="34" t="b">
        <v>1</v>
      </c>
      <c r="I61" s="50" t="s">
        <v>156</v>
      </c>
      <c r="J61" s="33" t="b">
        <v>0</v>
      </c>
      <c r="K61" s="33"/>
      <c r="L61" s="33"/>
      <c r="M61" s="33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</row>
    <row r="62">
      <c r="A62" s="41" t="s">
        <v>45</v>
      </c>
      <c r="B62" s="41" t="s">
        <v>157</v>
      </c>
      <c r="C62" s="41" t="s">
        <v>158</v>
      </c>
      <c r="D62" s="41" t="s">
        <v>159</v>
      </c>
      <c r="E62" s="43">
        <v>8250.0</v>
      </c>
      <c r="F62" s="44" t="str">
        <f t="shared" si="7"/>
        <v>#REF!</v>
      </c>
      <c r="G62" s="49" t="s">
        <v>160</v>
      </c>
      <c r="H62" s="41" t="b">
        <v>1</v>
      </c>
      <c r="I62" s="46" t="s">
        <v>161</v>
      </c>
      <c r="J62" s="41" t="b">
        <v>1</v>
      </c>
    </row>
    <row r="63">
      <c r="A63" s="33"/>
      <c r="B63" s="34" t="s">
        <v>157</v>
      </c>
      <c r="C63" s="34" t="s">
        <v>162</v>
      </c>
      <c r="D63" s="34" t="s">
        <v>163</v>
      </c>
      <c r="E63" s="36">
        <v>130.0</v>
      </c>
      <c r="F63" s="37" t="str">
        <f t="shared" si="7"/>
        <v>#REF!</v>
      </c>
      <c r="G63" s="38" t="s">
        <v>164</v>
      </c>
      <c r="H63" s="34" t="b">
        <v>1</v>
      </c>
      <c r="I63" s="39"/>
      <c r="J63" s="33" t="b">
        <v>0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</row>
    <row r="64">
      <c r="A64" s="42"/>
      <c r="B64" s="41" t="s">
        <v>157</v>
      </c>
      <c r="C64" s="41" t="s">
        <v>162</v>
      </c>
      <c r="D64" s="41" t="s">
        <v>165</v>
      </c>
      <c r="E64" s="43">
        <v>250.0</v>
      </c>
      <c r="F64" s="44" t="str">
        <f t="shared" si="7"/>
        <v>#REF!</v>
      </c>
      <c r="G64" s="49" t="s">
        <v>164</v>
      </c>
      <c r="H64" s="41" t="b">
        <v>1</v>
      </c>
      <c r="I64" s="51"/>
      <c r="J64" s="42" t="b">
        <v>0</v>
      </c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</row>
    <row r="65">
      <c r="A65" s="34" t="s">
        <v>45</v>
      </c>
      <c r="B65" s="34" t="s">
        <v>157</v>
      </c>
      <c r="C65" s="34" t="s">
        <v>166</v>
      </c>
      <c r="D65" s="34" t="s">
        <v>167</v>
      </c>
      <c r="E65" s="36">
        <v>650.0</v>
      </c>
      <c r="F65" s="37" t="str">
        <f t="shared" si="7"/>
        <v>#REF!</v>
      </c>
      <c r="G65" s="38" t="s">
        <v>168</v>
      </c>
      <c r="H65" s="34" t="b">
        <v>1</v>
      </c>
      <c r="I65" s="48" t="s">
        <v>169</v>
      </c>
      <c r="J65" s="33" t="b">
        <v>0</v>
      </c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</row>
    <row r="66">
      <c r="A66" s="41" t="s">
        <v>45</v>
      </c>
      <c r="B66" s="41" t="s">
        <v>157</v>
      </c>
      <c r="C66" s="41" t="s">
        <v>170</v>
      </c>
      <c r="D66" s="41" t="s">
        <v>171</v>
      </c>
      <c r="E66" s="43">
        <v>500.0</v>
      </c>
      <c r="F66" s="44">
        <f>E66*K65*1.16</f>
        <v>0</v>
      </c>
      <c r="G66" s="49" t="s">
        <v>172</v>
      </c>
      <c r="H66" s="41" t="b">
        <v>1</v>
      </c>
      <c r="I66" s="46" t="s">
        <v>173</v>
      </c>
      <c r="J66" s="42" t="b">
        <v>0</v>
      </c>
      <c r="K66" s="42"/>
      <c r="L66" s="42"/>
      <c r="M66" s="42"/>
      <c r="N66" s="47"/>
    </row>
    <row r="67">
      <c r="A67" s="34" t="s">
        <v>45</v>
      </c>
      <c r="B67" s="34" t="s">
        <v>157</v>
      </c>
      <c r="C67" s="34" t="s">
        <v>170</v>
      </c>
      <c r="D67" s="34" t="s">
        <v>174</v>
      </c>
      <c r="E67" s="36">
        <v>500.0</v>
      </c>
      <c r="F67" s="37" t="str">
        <f>E67*#REF!*1.16</f>
        <v>#REF!</v>
      </c>
      <c r="G67" s="38" t="s">
        <v>172</v>
      </c>
      <c r="H67" s="34" t="b">
        <v>1</v>
      </c>
      <c r="I67" s="39"/>
      <c r="J67" s="33" t="b">
        <v>0</v>
      </c>
      <c r="K67" s="33"/>
      <c r="L67" s="33"/>
      <c r="M67" s="33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</row>
    <row r="68">
      <c r="A68" s="42"/>
      <c r="B68" s="41" t="s">
        <v>157</v>
      </c>
      <c r="C68" s="41" t="s">
        <v>170</v>
      </c>
      <c r="D68" s="41" t="s">
        <v>175</v>
      </c>
      <c r="E68" s="43">
        <v>650.0</v>
      </c>
      <c r="F68" s="44">
        <f>E68*K67*1.16</f>
        <v>0</v>
      </c>
      <c r="G68" s="49" t="s">
        <v>176</v>
      </c>
      <c r="H68" s="41" t="b">
        <v>1</v>
      </c>
      <c r="I68" s="51"/>
      <c r="J68" s="42" t="b">
        <v>0</v>
      </c>
      <c r="K68" s="42"/>
      <c r="L68" s="42"/>
      <c r="M68" s="42"/>
      <c r="N68" s="47"/>
    </row>
    <row r="69">
      <c r="A69" s="34" t="s">
        <v>45</v>
      </c>
      <c r="B69" s="34" t="s">
        <v>157</v>
      </c>
      <c r="C69" s="34" t="s">
        <v>170</v>
      </c>
      <c r="D69" s="34" t="s">
        <v>177</v>
      </c>
      <c r="E69" s="36">
        <v>700.0</v>
      </c>
      <c r="F69" s="37">
        <f>E69*K67*1.16</f>
        <v>0</v>
      </c>
      <c r="G69" s="38" t="s">
        <v>172</v>
      </c>
      <c r="H69" s="34" t="b">
        <v>1</v>
      </c>
      <c r="I69" s="39"/>
      <c r="J69" s="33" t="b">
        <v>0</v>
      </c>
      <c r="K69" s="33"/>
      <c r="L69" s="33"/>
      <c r="M69" s="33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</row>
    <row r="70">
      <c r="A70" s="41" t="s">
        <v>45</v>
      </c>
      <c r="B70" s="41" t="s">
        <v>157</v>
      </c>
      <c r="C70" s="41" t="s">
        <v>170</v>
      </c>
      <c r="D70" s="41" t="s">
        <v>178</v>
      </c>
      <c r="E70" s="43">
        <v>1100.0</v>
      </c>
      <c r="F70" s="44" t="str">
        <f>E70*#REF!*1.16</f>
        <v>#REF!</v>
      </c>
      <c r="G70" s="49" t="s">
        <v>172</v>
      </c>
      <c r="H70" s="41" t="b">
        <v>1</v>
      </c>
      <c r="I70" s="46" t="s">
        <v>179</v>
      </c>
      <c r="J70" s="42" t="b">
        <v>0</v>
      </c>
      <c r="K70" s="42"/>
      <c r="L70" s="42"/>
      <c r="M70" s="42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</row>
    <row r="71">
      <c r="A71" s="52" t="s">
        <v>45</v>
      </c>
      <c r="B71" s="34" t="s">
        <v>157</v>
      </c>
      <c r="C71" s="53" t="s">
        <v>170</v>
      </c>
      <c r="D71" s="53" t="s">
        <v>180</v>
      </c>
      <c r="E71" s="36">
        <v>1200.0</v>
      </c>
      <c r="F71" s="37">
        <f>E71*K69*1.16</f>
        <v>0</v>
      </c>
      <c r="G71" s="38" t="s">
        <v>172</v>
      </c>
      <c r="H71" s="34" t="b">
        <v>1</v>
      </c>
      <c r="I71" s="48" t="s">
        <v>181</v>
      </c>
      <c r="J71" s="33" t="b">
        <v>0</v>
      </c>
      <c r="K71" s="33"/>
      <c r="L71" s="33"/>
      <c r="M71" s="33"/>
      <c r="N71" s="40"/>
    </row>
    <row r="72">
      <c r="A72" s="41" t="s">
        <v>45</v>
      </c>
      <c r="B72" s="41" t="s">
        <v>157</v>
      </c>
      <c r="C72" s="42"/>
      <c r="D72" s="41" t="s">
        <v>182</v>
      </c>
      <c r="E72" s="43">
        <v>5300.0</v>
      </c>
      <c r="F72" s="44">
        <f>E72*K5*1.16</f>
        <v>0</v>
      </c>
      <c r="G72" s="49" t="s">
        <v>183</v>
      </c>
      <c r="H72" s="41" t="b">
        <v>1</v>
      </c>
      <c r="I72" s="51"/>
      <c r="J72" s="41" t="b">
        <v>1</v>
      </c>
    </row>
    <row r="73">
      <c r="A73" s="34" t="s">
        <v>45</v>
      </c>
      <c r="B73" s="34" t="s">
        <v>184</v>
      </c>
      <c r="C73" s="34" t="s">
        <v>185</v>
      </c>
      <c r="D73" s="34" t="s">
        <v>186</v>
      </c>
      <c r="E73" s="36">
        <v>340.0</v>
      </c>
      <c r="F73" s="37" t="str">
        <f t="shared" ref="F73:F74" si="8">E73*#REF!*1.16</f>
        <v>#REF!</v>
      </c>
      <c r="G73" s="54"/>
      <c r="H73" s="34" t="b">
        <v>1</v>
      </c>
      <c r="I73" s="48" t="s">
        <v>187</v>
      </c>
      <c r="J73" s="33" t="b">
        <v>0</v>
      </c>
    </row>
    <row r="74">
      <c r="A74" s="42"/>
      <c r="B74" s="41" t="s">
        <v>184</v>
      </c>
      <c r="C74" s="41" t="s">
        <v>185</v>
      </c>
      <c r="D74" s="41" t="s">
        <v>188</v>
      </c>
      <c r="E74" s="43">
        <v>500.0</v>
      </c>
      <c r="F74" s="44" t="str">
        <f t="shared" si="8"/>
        <v>#REF!</v>
      </c>
      <c r="G74" s="45"/>
      <c r="H74" s="42" t="b">
        <v>0</v>
      </c>
      <c r="I74" s="46" t="s">
        <v>189</v>
      </c>
      <c r="J74" s="42" t="b">
        <v>0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</row>
    <row r="75">
      <c r="A75" s="34"/>
      <c r="B75" s="34" t="s">
        <v>184</v>
      </c>
      <c r="C75" s="34" t="s">
        <v>185</v>
      </c>
      <c r="D75" s="34" t="s">
        <v>190</v>
      </c>
      <c r="E75" s="36">
        <v>650.0</v>
      </c>
      <c r="F75" s="37">
        <f>E75*K73*1.16</f>
        <v>0</v>
      </c>
      <c r="G75" s="38" t="s">
        <v>34</v>
      </c>
      <c r="H75" s="33" t="b">
        <v>0</v>
      </c>
      <c r="I75" s="39"/>
      <c r="J75" s="33" t="b">
        <v>0</v>
      </c>
      <c r="K75" s="33"/>
      <c r="L75" s="33"/>
      <c r="M75" s="33"/>
      <c r="O75" s="40"/>
      <c r="P75" s="40"/>
      <c r="Q75" s="40"/>
      <c r="R75" s="40"/>
      <c r="S75" s="40"/>
      <c r="T75" s="40"/>
      <c r="U75" s="40"/>
      <c r="V75" s="40"/>
      <c r="W75" s="40"/>
      <c r="X75" s="40"/>
    </row>
    <row r="76">
      <c r="A76" s="41"/>
      <c r="B76" s="41" t="s">
        <v>184</v>
      </c>
      <c r="C76" s="41" t="s">
        <v>185</v>
      </c>
      <c r="D76" s="41" t="s">
        <v>191</v>
      </c>
      <c r="E76" s="43">
        <v>1100.0</v>
      </c>
      <c r="F76" s="44" t="str">
        <f t="shared" ref="F76:F77" si="9">E76*#REF!*1.16</f>
        <v>#REF!</v>
      </c>
      <c r="G76" s="45"/>
      <c r="H76" s="41" t="b">
        <v>1</v>
      </c>
      <c r="I76" s="46" t="s">
        <v>192</v>
      </c>
      <c r="J76" s="42" t="b">
        <v>0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</row>
    <row r="77">
      <c r="A77" s="34"/>
      <c r="B77" s="34" t="s">
        <v>184</v>
      </c>
      <c r="C77" s="34" t="s">
        <v>185</v>
      </c>
      <c r="D77" s="34" t="s">
        <v>193</v>
      </c>
      <c r="E77" s="36">
        <v>1650.0</v>
      </c>
      <c r="F77" s="37" t="str">
        <f t="shared" si="9"/>
        <v>#REF!</v>
      </c>
      <c r="G77" s="38"/>
      <c r="H77" s="33" t="b">
        <v>0</v>
      </c>
      <c r="I77" s="48" t="s">
        <v>194</v>
      </c>
      <c r="J77" s="33" t="b">
        <v>0</v>
      </c>
      <c r="K77" s="33"/>
      <c r="L77" s="33"/>
      <c r="M77" s="33"/>
      <c r="O77" s="40"/>
      <c r="P77" s="40"/>
      <c r="Q77" s="40"/>
      <c r="R77" s="40"/>
      <c r="S77" s="40"/>
      <c r="T77" s="40"/>
      <c r="U77" s="40"/>
      <c r="V77" s="40"/>
      <c r="W77" s="40"/>
      <c r="X77" s="40"/>
    </row>
    <row r="78">
      <c r="A78" s="41"/>
      <c r="B78" s="41" t="s">
        <v>13</v>
      </c>
      <c r="C78" s="41" t="s">
        <v>195</v>
      </c>
      <c r="D78" s="41" t="s">
        <v>196</v>
      </c>
      <c r="E78" s="43">
        <v>170.0</v>
      </c>
      <c r="F78" s="44">
        <f>E78*K76*1.16</f>
        <v>0</v>
      </c>
      <c r="G78" s="49" t="s">
        <v>197</v>
      </c>
      <c r="H78" s="42" t="b">
        <v>0</v>
      </c>
      <c r="I78" s="55" t="s">
        <v>198</v>
      </c>
      <c r="J78" s="42" t="b">
        <v>0</v>
      </c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</row>
    <row r="79">
      <c r="A79" s="34" t="s">
        <v>45</v>
      </c>
      <c r="B79" s="34" t="s">
        <v>184</v>
      </c>
      <c r="C79" s="34" t="s">
        <v>199</v>
      </c>
      <c r="D79" s="34" t="s">
        <v>200</v>
      </c>
      <c r="E79" s="36">
        <v>500.0</v>
      </c>
      <c r="F79" s="37" t="str">
        <f t="shared" ref="F79:F80" si="10">E79*#REF!*1.16</f>
        <v>#REF!</v>
      </c>
      <c r="G79" s="38" t="s">
        <v>201</v>
      </c>
      <c r="H79" s="34" t="b">
        <v>1</v>
      </c>
      <c r="I79" s="48" t="s">
        <v>202</v>
      </c>
      <c r="J79" s="33" t="b">
        <v>0</v>
      </c>
      <c r="K79" s="33"/>
      <c r="L79" s="33"/>
      <c r="M79" s="33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</row>
    <row r="80">
      <c r="A80" s="41" t="s">
        <v>45</v>
      </c>
      <c r="B80" s="41" t="s">
        <v>184</v>
      </c>
      <c r="C80" s="41" t="s">
        <v>199</v>
      </c>
      <c r="D80" s="41" t="s">
        <v>203</v>
      </c>
      <c r="E80" s="43">
        <v>550.0</v>
      </c>
      <c r="F80" s="44" t="str">
        <f t="shared" si="10"/>
        <v>#REF!</v>
      </c>
      <c r="G80" s="45"/>
      <c r="H80" s="41" t="b">
        <v>1</v>
      </c>
      <c r="I80" s="46" t="s">
        <v>204</v>
      </c>
      <c r="J80" s="42" t="b">
        <v>0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</row>
    <row r="81">
      <c r="A81" s="34"/>
      <c r="B81" s="34" t="s">
        <v>184</v>
      </c>
      <c r="C81" s="34" t="s">
        <v>199</v>
      </c>
      <c r="D81" s="34" t="s">
        <v>205</v>
      </c>
      <c r="E81" s="36">
        <v>600.0</v>
      </c>
      <c r="F81" s="37">
        <f>E81*K80*1.16</f>
        <v>0</v>
      </c>
      <c r="G81" s="38" t="s">
        <v>206</v>
      </c>
      <c r="H81" s="33" t="b">
        <v>0</v>
      </c>
      <c r="I81" s="39"/>
      <c r="J81" s="33" t="b">
        <v>0</v>
      </c>
      <c r="K81" s="33"/>
      <c r="L81" s="33"/>
      <c r="M81" s="33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</row>
    <row r="82">
      <c r="A82" s="42"/>
      <c r="B82" s="41" t="s">
        <v>184</v>
      </c>
      <c r="C82" s="41" t="s">
        <v>199</v>
      </c>
      <c r="D82" s="56" t="s">
        <v>207</v>
      </c>
      <c r="E82" s="43">
        <v>700.0</v>
      </c>
      <c r="F82" s="44" t="str">
        <f t="shared" ref="F82:F85" si="11">E82*#REF!*1.16</f>
        <v>#REF!</v>
      </c>
      <c r="G82" s="49" t="s">
        <v>208</v>
      </c>
      <c r="H82" s="41" t="b">
        <v>1</v>
      </c>
      <c r="I82" s="51"/>
      <c r="J82" s="42" t="b">
        <v>0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</row>
    <row r="83">
      <c r="A83" s="34" t="s">
        <v>45</v>
      </c>
      <c r="B83" s="34" t="s">
        <v>184</v>
      </c>
      <c r="C83" s="34" t="s">
        <v>199</v>
      </c>
      <c r="D83" s="34" t="s">
        <v>209</v>
      </c>
      <c r="E83" s="36">
        <v>1100.0</v>
      </c>
      <c r="F83" s="37" t="str">
        <f t="shared" si="11"/>
        <v>#REF!</v>
      </c>
      <c r="G83" s="38" t="s">
        <v>210</v>
      </c>
      <c r="H83" s="33" t="b">
        <v>0</v>
      </c>
      <c r="I83" s="50" t="s">
        <v>211</v>
      </c>
      <c r="J83" s="33" t="b">
        <v>0</v>
      </c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</row>
    <row r="84">
      <c r="A84" s="41" t="s">
        <v>45</v>
      </c>
      <c r="B84" s="41" t="s">
        <v>184</v>
      </c>
      <c r="C84" s="41" t="s">
        <v>199</v>
      </c>
      <c r="D84" s="41" t="s">
        <v>212</v>
      </c>
      <c r="E84" s="43">
        <v>1300.0</v>
      </c>
      <c r="F84" s="44" t="str">
        <f t="shared" si="11"/>
        <v>#REF!</v>
      </c>
      <c r="G84" s="49" t="s">
        <v>213</v>
      </c>
      <c r="H84" s="41" t="b">
        <v>1</v>
      </c>
      <c r="I84" s="46" t="s">
        <v>214</v>
      </c>
      <c r="J84" s="42" t="b">
        <v>0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</row>
    <row r="85">
      <c r="A85" s="34"/>
      <c r="B85" s="34" t="s">
        <v>184</v>
      </c>
      <c r="C85" s="34" t="s">
        <v>199</v>
      </c>
      <c r="D85" s="34" t="s">
        <v>215</v>
      </c>
      <c r="E85" s="36">
        <v>3500.0</v>
      </c>
      <c r="F85" s="37" t="str">
        <f t="shared" si="11"/>
        <v>#REF!</v>
      </c>
      <c r="G85" s="38" t="s">
        <v>216</v>
      </c>
      <c r="H85" s="34" t="b">
        <v>1</v>
      </c>
      <c r="I85" s="48" t="s">
        <v>217</v>
      </c>
      <c r="J85" s="34" t="b">
        <v>1</v>
      </c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</row>
    <row r="86">
      <c r="A86" s="42"/>
      <c r="B86" s="41" t="s">
        <v>184</v>
      </c>
      <c r="C86" s="41" t="s">
        <v>218</v>
      </c>
      <c r="D86" s="41" t="s">
        <v>219</v>
      </c>
      <c r="E86" s="43">
        <v>800.0</v>
      </c>
      <c r="F86" s="44"/>
      <c r="G86" s="49" t="s">
        <v>220</v>
      </c>
      <c r="H86" s="41" t="b">
        <v>1</v>
      </c>
      <c r="I86" s="51"/>
      <c r="J86" s="42" t="b">
        <v>0</v>
      </c>
      <c r="O86" s="47"/>
      <c r="P86" s="47"/>
      <c r="Q86" s="47"/>
      <c r="R86" s="47"/>
      <c r="S86" s="47"/>
      <c r="T86" s="47"/>
      <c r="U86" s="47"/>
      <c r="V86" s="47"/>
      <c r="W86" s="47"/>
      <c r="X86" s="47"/>
    </row>
    <row r="87">
      <c r="A87" s="33"/>
      <c r="B87" s="34" t="s">
        <v>184</v>
      </c>
      <c r="C87" s="34" t="s">
        <v>221</v>
      </c>
      <c r="D87" s="34" t="s">
        <v>222</v>
      </c>
      <c r="E87" s="36">
        <v>150.0</v>
      </c>
      <c r="F87" s="37"/>
      <c r="G87" s="38" t="s">
        <v>15</v>
      </c>
      <c r="H87" s="34" t="b">
        <v>1</v>
      </c>
      <c r="I87" s="48" t="s">
        <v>223</v>
      </c>
      <c r="J87" s="33" t="b">
        <v>0</v>
      </c>
      <c r="O87" s="40"/>
      <c r="P87" s="40"/>
      <c r="Q87" s="40"/>
      <c r="R87" s="40"/>
      <c r="S87" s="40"/>
      <c r="T87" s="40"/>
      <c r="U87" s="40"/>
      <c r="V87" s="40"/>
      <c r="W87" s="40"/>
      <c r="X87" s="40"/>
    </row>
    <row r="88">
      <c r="A88" s="41" t="s">
        <v>45</v>
      </c>
      <c r="B88" s="41" t="s">
        <v>184</v>
      </c>
      <c r="C88" s="41" t="s">
        <v>221</v>
      </c>
      <c r="D88" s="41" t="s">
        <v>224</v>
      </c>
      <c r="E88" s="43">
        <v>300.0</v>
      </c>
      <c r="F88" s="44"/>
      <c r="G88" s="49" t="s">
        <v>206</v>
      </c>
      <c r="H88" s="42" t="b">
        <v>0</v>
      </c>
      <c r="I88" s="46" t="s">
        <v>225</v>
      </c>
      <c r="J88" s="42" t="b">
        <v>0</v>
      </c>
      <c r="O88" s="47"/>
      <c r="P88" s="47"/>
      <c r="Q88" s="47"/>
      <c r="R88" s="47"/>
      <c r="S88" s="47"/>
      <c r="T88" s="47"/>
      <c r="U88" s="47"/>
      <c r="V88" s="47"/>
      <c r="W88" s="47"/>
      <c r="X88" s="47"/>
    </row>
    <row r="89">
      <c r="A89" s="33"/>
      <c r="B89" s="34" t="s">
        <v>184</v>
      </c>
      <c r="C89" s="34" t="s">
        <v>221</v>
      </c>
      <c r="D89" s="34" t="s">
        <v>226</v>
      </c>
      <c r="E89" s="36">
        <v>500.0</v>
      </c>
      <c r="F89" s="37"/>
      <c r="G89" s="38" t="s">
        <v>227</v>
      </c>
      <c r="H89" s="33" t="b">
        <v>0</v>
      </c>
      <c r="I89" s="50" t="s">
        <v>228</v>
      </c>
      <c r="J89" s="33" t="b">
        <v>0</v>
      </c>
      <c r="O89" s="40"/>
      <c r="P89" s="40"/>
      <c r="Q89" s="40"/>
      <c r="R89" s="40"/>
      <c r="S89" s="40"/>
      <c r="T89" s="40"/>
      <c r="U89" s="40"/>
      <c r="V89" s="40"/>
      <c r="W89" s="40"/>
      <c r="X89" s="40"/>
    </row>
    <row r="90">
      <c r="A90" s="41" t="s">
        <v>45</v>
      </c>
      <c r="B90" s="41" t="s">
        <v>184</v>
      </c>
      <c r="C90" s="41" t="s">
        <v>229</v>
      </c>
      <c r="D90" s="41" t="s">
        <v>230</v>
      </c>
      <c r="E90" s="43">
        <v>1300.0</v>
      </c>
      <c r="F90" s="44" t="str">
        <f t="shared" ref="F90:F97" si="12">E90*#REF!*1.16</f>
        <v>#REF!</v>
      </c>
      <c r="G90" s="49" t="s">
        <v>231</v>
      </c>
      <c r="H90" s="41" t="b">
        <v>1</v>
      </c>
      <c r="I90" s="51"/>
      <c r="J90" s="42" t="b">
        <v>0</v>
      </c>
      <c r="O90" s="47"/>
      <c r="P90" s="47"/>
      <c r="Q90" s="47"/>
      <c r="R90" s="47"/>
      <c r="S90" s="47"/>
      <c r="T90" s="47"/>
      <c r="U90" s="47"/>
      <c r="V90" s="47"/>
      <c r="W90" s="47"/>
      <c r="X90" s="47"/>
    </row>
    <row r="91">
      <c r="A91" s="33"/>
      <c r="B91" s="34" t="s">
        <v>184</v>
      </c>
      <c r="C91" s="34" t="s">
        <v>232</v>
      </c>
      <c r="D91" s="34" t="s">
        <v>233</v>
      </c>
      <c r="E91" s="36">
        <v>440.0</v>
      </c>
      <c r="F91" s="37" t="str">
        <f t="shared" si="12"/>
        <v>#REF!</v>
      </c>
      <c r="G91" s="38" t="s">
        <v>34</v>
      </c>
      <c r="H91" s="34" t="b">
        <v>1</v>
      </c>
      <c r="I91" s="48" t="s">
        <v>234</v>
      </c>
      <c r="J91" s="33" t="b">
        <v>0</v>
      </c>
      <c r="K91" s="33"/>
      <c r="L91" s="33"/>
      <c r="M91" s="33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</row>
    <row r="92">
      <c r="A92" s="42"/>
      <c r="B92" s="41" t="s">
        <v>184</v>
      </c>
      <c r="C92" s="41" t="s">
        <v>232</v>
      </c>
      <c r="D92" s="41" t="s">
        <v>235</v>
      </c>
      <c r="E92" s="43">
        <v>480.0</v>
      </c>
      <c r="F92" s="44" t="str">
        <f t="shared" si="12"/>
        <v>#REF!</v>
      </c>
      <c r="G92" s="49" t="s">
        <v>34</v>
      </c>
      <c r="H92" s="41" t="b">
        <v>1</v>
      </c>
      <c r="I92" s="46" t="s">
        <v>234</v>
      </c>
      <c r="J92" s="42" t="b">
        <v>0</v>
      </c>
      <c r="K92" s="42"/>
      <c r="L92" s="42"/>
      <c r="M92" s="42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</row>
    <row r="93">
      <c r="A93" s="33"/>
      <c r="B93" s="34" t="s">
        <v>184</v>
      </c>
      <c r="C93" s="34" t="s">
        <v>232</v>
      </c>
      <c r="D93" s="34" t="s">
        <v>236</v>
      </c>
      <c r="E93" s="36">
        <v>480.0</v>
      </c>
      <c r="F93" s="37" t="str">
        <f t="shared" si="12"/>
        <v>#REF!</v>
      </c>
      <c r="G93" s="38" t="s">
        <v>34</v>
      </c>
      <c r="H93" s="34" t="b">
        <v>1</v>
      </c>
      <c r="I93" s="48" t="s">
        <v>234</v>
      </c>
      <c r="J93" s="33" t="b">
        <v>0</v>
      </c>
      <c r="K93" s="33"/>
      <c r="L93" s="33"/>
      <c r="M93" s="33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</row>
    <row r="94">
      <c r="A94" s="42"/>
      <c r="B94" s="41" t="s">
        <v>184</v>
      </c>
      <c r="C94" s="41" t="s">
        <v>232</v>
      </c>
      <c r="D94" s="41" t="s">
        <v>237</v>
      </c>
      <c r="E94" s="43">
        <v>480.0</v>
      </c>
      <c r="F94" s="44" t="str">
        <f t="shared" si="12"/>
        <v>#REF!</v>
      </c>
      <c r="G94" s="49" t="s">
        <v>34</v>
      </c>
      <c r="H94" s="41" t="b">
        <v>1</v>
      </c>
      <c r="I94" s="46" t="s">
        <v>234</v>
      </c>
      <c r="J94" s="42" t="b">
        <v>0</v>
      </c>
      <c r="K94" s="42"/>
      <c r="L94" s="42"/>
      <c r="M94" s="42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</row>
    <row r="95">
      <c r="A95" s="33"/>
      <c r="B95" s="34" t="s">
        <v>184</v>
      </c>
      <c r="C95" s="34" t="s">
        <v>232</v>
      </c>
      <c r="D95" s="34" t="s">
        <v>238</v>
      </c>
      <c r="E95" s="36">
        <v>480.0</v>
      </c>
      <c r="F95" s="37" t="str">
        <f t="shared" si="12"/>
        <v>#REF!</v>
      </c>
      <c r="G95" s="38" t="s">
        <v>34</v>
      </c>
      <c r="H95" s="34" t="b">
        <v>1</v>
      </c>
      <c r="I95" s="48" t="s">
        <v>234</v>
      </c>
      <c r="J95" s="33" t="b">
        <v>0</v>
      </c>
      <c r="K95" s="33"/>
      <c r="L95" s="33"/>
      <c r="M95" s="33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</row>
    <row r="96">
      <c r="A96" s="42"/>
      <c r="B96" s="41" t="s">
        <v>184</v>
      </c>
      <c r="C96" s="41" t="s">
        <v>232</v>
      </c>
      <c r="D96" s="41" t="s">
        <v>239</v>
      </c>
      <c r="E96" s="43">
        <v>480.0</v>
      </c>
      <c r="F96" s="44" t="str">
        <f t="shared" si="12"/>
        <v>#REF!</v>
      </c>
      <c r="G96" s="49" t="s">
        <v>34</v>
      </c>
      <c r="H96" s="41" t="b">
        <v>1</v>
      </c>
      <c r="I96" s="46" t="s">
        <v>234</v>
      </c>
      <c r="J96" s="42" t="b">
        <v>0</v>
      </c>
      <c r="K96" s="42"/>
      <c r="L96" s="42"/>
      <c r="M96" s="42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</row>
    <row r="97">
      <c r="A97" s="33"/>
      <c r="B97" s="34" t="s">
        <v>184</v>
      </c>
      <c r="C97" s="34" t="s">
        <v>232</v>
      </c>
      <c r="D97" s="34" t="s">
        <v>240</v>
      </c>
      <c r="E97" s="36">
        <v>480.0</v>
      </c>
      <c r="F97" s="37" t="str">
        <f t="shared" si="12"/>
        <v>#REF!</v>
      </c>
      <c r="G97" s="38" t="s">
        <v>34</v>
      </c>
      <c r="H97" s="34" t="b">
        <v>1</v>
      </c>
      <c r="I97" s="48" t="s">
        <v>234</v>
      </c>
      <c r="J97" s="33" t="b">
        <v>0</v>
      </c>
      <c r="K97" s="33"/>
      <c r="L97" s="33"/>
      <c r="M97" s="33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</row>
    <row r="98">
      <c r="A98" s="41"/>
      <c r="B98" s="41" t="s">
        <v>184</v>
      </c>
      <c r="C98" s="41" t="s">
        <v>232</v>
      </c>
      <c r="D98" s="41" t="s">
        <v>241</v>
      </c>
      <c r="E98" s="43">
        <v>630.0</v>
      </c>
      <c r="F98" s="44">
        <f>E98*K96*1.16</f>
        <v>0</v>
      </c>
      <c r="G98" s="49" t="s">
        <v>242</v>
      </c>
      <c r="H98" s="41" t="b">
        <v>1</v>
      </c>
      <c r="I98" s="46" t="s">
        <v>243</v>
      </c>
      <c r="J98" s="42" t="b">
        <v>0</v>
      </c>
      <c r="K98" s="42"/>
      <c r="L98" s="42"/>
      <c r="M98" s="42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</row>
    <row r="99">
      <c r="A99" s="34"/>
      <c r="B99" s="34" t="s">
        <v>184</v>
      </c>
      <c r="C99" s="34" t="s">
        <v>232</v>
      </c>
      <c r="D99" s="34" t="s">
        <v>244</v>
      </c>
      <c r="E99" s="36">
        <v>2400.0</v>
      </c>
      <c r="F99" s="37" t="str">
        <f>E99*#REF!*1.16</f>
        <v>#REF!</v>
      </c>
      <c r="G99" s="54"/>
      <c r="H99" s="34" t="b">
        <v>1</v>
      </c>
      <c r="I99" s="48" t="s">
        <v>245</v>
      </c>
      <c r="J99" s="33" t="b">
        <v>0</v>
      </c>
      <c r="K99" s="33"/>
      <c r="L99" s="33"/>
      <c r="M99" s="33"/>
      <c r="O99" s="40"/>
      <c r="P99" s="40"/>
      <c r="Q99" s="40"/>
      <c r="R99" s="40"/>
      <c r="S99" s="40"/>
      <c r="T99" s="40"/>
      <c r="U99" s="40"/>
      <c r="V99" s="40"/>
      <c r="W99" s="40"/>
      <c r="X99" s="40"/>
    </row>
    <row r="100">
      <c r="A100" s="41"/>
      <c r="B100" s="41" t="s">
        <v>184</v>
      </c>
      <c r="C100" s="41"/>
      <c r="D100" s="41" t="s">
        <v>246</v>
      </c>
      <c r="E100" s="43">
        <v>300.0</v>
      </c>
      <c r="F100" s="44">
        <f>E100*K98*1.16</f>
        <v>0</v>
      </c>
      <c r="G100" s="45"/>
      <c r="H100" s="41" t="b">
        <v>1</v>
      </c>
      <c r="I100" s="46" t="s">
        <v>247</v>
      </c>
      <c r="J100" s="42" t="b">
        <v>0</v>
      </c>
      <c r="K100" s="42"/>
      <c r="L100" s="42"/>
      <c r="M100" s="42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</row>
    <row r="101">
      <c r="A101" s="33"/>
      <c r="B101" s="34" t="s">
        <v>184</v>
      </c>
      <c r="C101" s="33"/>
      <c r="D101" s="53" t="s">
        <v>248</v>
      </c>
      <c r="E101" s="36"/>
      <c r="F101" s="37" t="str">
        <f t="shared" ref="F101:F102" si="13">E101*#REF!*1.16</f>
        <v>#REF!</v>
      </c>
      <c r="G101" s="38" t="s">
        <v>249</v>
      </c>
      <c r="H101" s="33" t="b">
        <v>0</v>
      </c>
      <c r="I101" s="48" t="s">
        <v>250</v>
      </c>
      <c r="J101" s="33" t="b">
        <v>0</v>
      </c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</row>
    <row r="102">
      <c r="A102" s="42"/>
      <c r="B102" s="41" t="s">
        <v>184</v>
      </c>
      <c r="C102" s="42"/>
      <c r="D102" s="41" t="s">
        <v>251</v>
      </c>
      <c r="E102" s="43">
        <v>350.0</v>
      </c>
      <c r="F102" s="44" t="str">
        <f t="shared" si="13"/>
        <v>#REF!</v>
      </c>
      <c r="G102" s="45"/>
      <c r="H102" s="42" t="b">
        <v>0</v>
      </c>
      <c r="I102" s="46" t="s">
        <v>252</v>
      </c>
      <c r="J102" s="42" t="b">
        <v>0</v>
      </c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</row>
    <row r="103">
      <c r="A103" s="33"/>
      <c r="B103" s="34" t="s">
        <v>184</v>
      </c>
      <c r="C103" s="33"/>
      <c r="D103" s="34" t="s">
        <v>253</v>
      </c>
      <c r="E103" s="36">
        <v>470.0</v>
      </c>
      <c r="F103" s="37"/>
      <c r="G103" s="38" t="s">
        <v>197</v>
      </c>
      <c r="H103" s="34" t="b">
        <v>1</v>
      </c>
      <c r="I103" s="48" t="s">
        <v>254</v>
      </c>
      <c r="J103" s="33" t="b">
        <v>0</v>
      </c>
      <c r="O103" s="40"/>
      <c r="P103" s="40"/>
      <c r="Q103" s="40"/>
      <c r="R103" s="40"/>
      <c r="S103" s="40"/>
      <c r="T103" s="40"/>
      <c r="U103" s="40"/>
      <c r="V103" s="40"/>
      <c r="W103" s="40"/>
      <c r="X103" s="40"/>
    </row>
    <row r="104">
      <c r="A104" s="42"/>
      <c r="B104" s="41" t="s">
        <v>184</v>
      </c>
      <c r="C104" s="41"/>
      <c r="D104" s="41" t="s">
        <v>255</v>
      </c>
      <c r="E104" s="43">
        <v>540.0</v>
      </c>
      <c r="F104" s="44">
        <f t="shared" ref="F104:F105" si="14">E104*K103*1.16</f>
        <v>0</v>
      </c>
      <c r="G104" s="45"/>
      <c r="H104" s="41" t="b">
        <v>1</v>
      </c>
      <c r="I104" s="51"/>
      <c r="J104" s="42" t="b">
        <v>0</v>
      </c>
      <c r="K104" s="42"/>
      <c r="L104" s="42"/>
      <c r="M104" s="42"/>
      <c r="O104" s="47"/>
      <c r="P104" s="47"/>
      <c r="Q104" s="47"/>
      <c r="R104" s="47"/>
      <c r="S104" s="47"/>
      <c r="T104" s="47"/>
      <c r="U104" s="47"/>
      <c r="V104" s="47"/>
      <c r="W104" s="47"/>
      <c r="X104" s="47"/>
    </row>
    <row r="105">
      <c r="A105" s="34" t="s">
        <v>45</v>
      </c>
      <c r="B105" s="34" t="s">
        <v>184</v>
      </c>
      <c r="C105" s="34"/>
      <c r="D105" s="34" t="s">
        <v>256</v>
      </c>
      <c r="E105" s="36">
        <v>900.0</v>
      </c>
      <c r="F105" s="37">
        <f t="shared" si="14"/>
        <v>0</v>
      </c>
      <c r="G105" s="38" t="s">
        <v>172</v>
      </c>
      <c r="H105" s="34" t="b">
        <v>1</v>
      </c>
      <c r="I105" s="48" t="s">
        <v>257</v>
      </c>
      <c r="J105" s="33" t="b">
        <v>0</v>
      </c>
      <c r="K105" s="33"/>
      <c r="L105" s="33"/>
      <c r="M105" s="33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</row>
    <row r="106">
      <c r="A106" s="41"/>
      <c r="B106" s="41" t="s">
        <v>184</v>
      </c>
      <c r="C106" s="41"/>
      <c r="D106" s="41" t="s">
        <v>258</v>
      </c>
      <c r="E106" s="43">
        <v>1199.0</v>
      </c>
      <c r="F106" s="44" t="str">
        <f>E106*#REF!*1.16</f>
        <v>#REF!</v>
      </c>
      <c r="G106" s="49" t="s">
        <v>259</v>
      </c>
      <c r="H106" s="41" t="b">
        <v>1</v>
      </c>
      <c r="I106" s="46" t="s">
        <v>260</v>
      </c>
      <c r="J106" s="42" t="b">
        <v>0</v>
      </c>
      <c r="K106" s="42"/>
      <c r="L106" s="42"/>
      <c r="M106" s="42"/>
      <c r="O106" s="47"/>
      <c r="P106" s="47"/>
      <c r="Q106" s="47"/>
      <c r="R106" s="47"/>
      <c r="S106" s="47"/>
      <c r="T106" s="47"/>
      <c r="U106" s="47"/>
      <c r="V106" s="47"/>
      <c r="W106" s="47"/>
      <c r="X106" s="47"/>
    </row>
    <row r="107">
      <c r="A107" s="33"/>
      <c r="B107" s="34" t="s">
        <v>184</v>
      </c>
      <c r="C107" s="33"/>
      <c r="D107" s="34" t="s">
        <v>261</v>
      </c>
      <c r="E107" s="36">
        <v>1200.0</v>
      </c>
      <c r="F107" s="37"/>
      <c r="G107" s="38" t="s">
        <v>231</v>
      </c>
      <c r="H107" s="34" t="b">
        <v>1</v>
      </c>
      <c r="I107" s="39"/>
      <c r="J107" s="33" t="b">
        <v>0</v>
      </c>
      <c r="O107" s="40"/>
      <c r="P107" s="40"/>
      <c r="Q107" s="40"/>
      <c r="R107" s="40"/>
      <c r="S107" s="40"/>
      <c r="T107" s="40"/>
      <c r="U107" s="40"/>
      <c r="V107" s="40"/>
      <c r="W107" s="40"/>
      <c r="X107" s="40"/>
    </row>
    <row r="108">
      <c r="A108" s="41" t="s">
        <v>45</v>
      </c>
      <c r="B108" s="41" t="s">
        <v>184</v>
      </c>
      <c r="C108" s="42"/>
      <c r="D108" s="41" t="s">
        <v>262</v>
      </c>
      <c r="E108" s="43">
        <v>1299.0</v>
      </c>
      <c r="F108" s="44" t="str">
        <f>E108*#REF!*1.16</f>
        <v>#REF!</v>
      </c>
      <c r="G108" s="49" t="s">
        <v>263</v>
      </c>
      <c r="H108" s="41" t="b">
        <v>1</v>
      </c>
      <c r="I108" s="46" t="s">
        <v>264</v>
      </c>
      <c r="J108" s="42" t="b">
        <v>0</v>
      </c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</row>
    <row r="109">
      <c r="A109" s="34"/>
      <c r="B109" s="34" t="s">
        <v>184</v>
      </c>
      <c r="C109" s="53"/>
      <c r="D109" s="53" t="s">
        <v>265</v>
      </c>
      <c r="E109" s="36">
        <v>1300.0</v>
      </c>
      <c r="F109" s="37">
        <f>E109*K107*1.16</f>
        <v>0</v>
      </c>
      <c r="G109" s="38" t="s">
        <v>34</v>
      </c>
      <c r="H109" s="34" t="b">
        <v>1</v>
      </c>
      <c r="I109" s="48" t="s">
        <v>266</v>
      </c>
      <c r="J109" s="33" t="b">
        <v>0</v>
      </c>
      <c r="K109" s="33"/>
      <c r="L109" s="33"/>
      <c r="M109" s="33"/>
      <c r="O109" s="40"/>
      <c r="P109" s="40"/>
      <c r="Q109" s="40"/>
      <c r="R109" s="40"/>
      <c r="S109" s="40"/>
      <c r="T109" s="40"/>
      <c r="U109" s="40"/>
      <c r="V109" s="40"/>
      <c r="W109" s="40"/>
      <c r="X109" s="40"/>
    </row>
    <row r="110">
      <c r="A110" s="42"/>
      <c r="B110" s="41" t="s">
        <v>184</v>
      </c>
      <c r="C110" s="42"/>
      <c r="D110" s="41" t="s">
        <v>267</v>
      </c>
      <c r="E110" s="43">
        <v>1300.0</v>
      </c>
      <c r="F110" s="44"/>
      <c r="G110" s="49" t="s">
        <v>231</v>
      </c>
      <c r="H110" s="41" t="b">
        <v>1</v>
      </c>
      <c r="I110" s="51"/>
      <c r="J110" s="42" t="b">
        <v>0</v>
      </c>
      <c r="O110" s="47"/>
      <c r="P110" s="47"/>
      <c r="Q110" s="47"/>
      <c r="R110" s="47"/>
      <c r="S110" s="47"/>
      <c r="T110" s="47"/>
      <c r="U110" s="47"/>
      <c r="V110" s="47"/>
      <c r="W110" s="47"/>
      <c r="X110" s="47"/>
    </row>
    <row r="111">
      <c r="A111" s="33"/>
      <c r="B111" s="34" t="s">
        <v>184</v>
      </c>
      <c r="C111" s="33"/>
      <c r="D111" s="34" t="s">
        <v>268</v>
      </c>
      <c r="E111" s="36">
        <v>1300.0</v>
      </c>
      <c r="F111" s="37"/>
      <c r="G111" s="38" t="s">
        <v>269</v>
      </c>
      <c r="H111" s="34" t="b">
        <v>1</v>
      </c>
      <c r="I111" s="48" t="s">
        <v>270</v>
      </c>
      <c r="J111" s="33" t="b">
        <v>0</v>
      </c>
      <c r="O111" s="40"/>
      <c r="P111" s="40"/>
      <c r="Q111" s="40"/>
      <c r="R111" s="40"/>
      <c r="S111" s="40"/>
      <c r="T111" s="40"/>
      <c r="U111" s="40"/>
      <c r="V111" s="40"/>
      <c r="W111" s="40"/>
      <c r="X111" s="40"/>
    </row>
    <row r="112">
      <c r="A112" s="41" t="s">
        <v>45</v>
      </c>
      <c r="B112" s="41" t="s">
        <v>184</v>
      </c>
      <c r="C112" s="42"/>
      <c r="D112" s="56" t="s">
        <v>271</v>
      </c>
      <c r="E112" s="43">
        <v>1300.0</v>
      </c>
      <c r="F112" s="44" t="str">
        <f>E112*#REF!*1.16</f>
        <v>#REF!</v>
      </c>
      <c r="G112" s="45"/>
      <c r="H112" s="41" t="b">
        <v>1</v>
      </c>
      <c r="I112" s="51"/>
      <c r="J112" s="42" t="b">
        <v>0</v>
      </c>
      <c r="O112" s="47"/>
      <c r="P112" s="47"/>
      <c r="Q112" s="47"/>
      <c r="R112" s="47"/>
      <c r="S112" s="47"/>
      <c r="T112" s="47"/>
      <c r="U112" s="47"/>
      <c r="V112" s="47"/>
      <c r="W112" s="47"/>
      <c r="X112" s="47"/>
    </row>
    <row r="113">
      <c r="A113" s="34" t="s">
        <v>45</v>
      </c>
      <c r="B113" s="34" t="s">
        <v>184</v>
      </c>
      <c r="C113" s="33"/>
      <c r="D113" s="34" t="s">
        <v>272</v>
      </c>
      <c r="E113" s="36">
        <v>1500.0</v>
      </c>
      <c r="F113" s="37" t="str">
        <f>E113*#REF!</f>
        <v>#REF!</v>
      </c>
      <c r="G113" s="38" t="s">
        <v>206</v>
      </c>
      <c r="H113" s="34" t="b">
        <v>1</v>
      </c>
      <c r="I113" s="39"/>
      <c r="J113" s="34" t="b">
        <v>1</v>
      </c>
      <c r="O113" s="40"/>
      <c r="P113" s="40"/>
      <c r="Q113" s="40"/>
      <c r="R113" s="40"/>
      <c r="S113" s="40"/>
      <c r="T113" s="40"/>
      <c r="U113" s="40"/>
      <c r="V113" s="40"/>
      <c r="W113" s="40"/>
      <c r="X113" s="40"/>
    </row>
    <row r="114">
      <c r="A114" s="41" t="s">
        <v>45</v>
      </c>
      <c r="B114" s="41" t="s">
        <v>184</v>
      </c>
      <c r="C114" s="42"/>
      <c r="D114" s="57" t="s">
        <v>273</v>
      </c>
      <c r="E114" s="43">
        <v>2200.0</v>
      </c>
      <c r="F114" s="44">
        <f>E114*$K$1*1.16</f>
        <v>3572800</v>
      </c>
      <c r="G114" s="49" t="s">
        <v>168</v>
      </c>
      <c r="H114" s="41" t="b">
        <v>1</v>
      </c>
      <c r="I114" s="46" t="s">
        <v>274</v>
      </c>
      <c r="J114" s="41" t="b">
        <v>1</v>
      </c>
      <c r="O114" s="47"/>
      <c r="P114" s="47"/>
      <c r="Q114" s="47"/>
      <c r="R114" s="47"/>
      <c r="S114" s="47"/>
      <c r="T114" s="47"/>
      <c r="U114" s="47"/>
      <c r="V114" s="47"/>
      <c r="W114" s="47"/>
      <c r="X114" s="47"/>
    </row>
    <row r="115">
      <c r="A115" s="34"/>
      <c r="B115" s="34" t="s">
        <v>184</v>
      </c>
      <c r="C115" s="33"/>
      <c r="D115" s="34" t="s">
        <v>275</v>
      </c>
      <c r="E115" s="36">
        <v>2600.0</v>
      </c>
      <c r="F115" s="37" t="str">
        <f t="shared" ref="F115:F122" si="15">E115*#REF!*1.16</f>
        <v>#REF!</v>
      </c>
      <c r="G115" s="38" t="s">
        <v>276</v>
      </c>
      <c r="H115" s="34" t="b">
        <v>1</v>
      </c>
      <c r="I115" s="48" t="s">
        <v>277</v>
      </c>
      <c r="J115" s="34" t="b">
        <v>1</v>
      </c>
      <c r="O115" s="40"/>
      <c r="P115" s="40"/>
      <c r="Q115" s="40"/>
      <c r="R115" s="40"/>
      <c r="S115" s="40"/>
      <c r="T115" s="40"/>
      <c r="U115" s="40"/>
      <c r="V115" s="40"/>
      <c r="W115" s="40"/>
      <c r="X115" s="40"/>
    </row>
    <row r="116">
      <c r="A116" s="42"/>
      <c r="B116" s="41" t="s">
        <v>184</v>
      </c>
      <c r="C116" s="42"/>
      <c r="D116" s="41" t="s">
        <v>278</v>
      </c>
      <c r="E116" s="43">
        <v>2600.0</v>
      </c>
      <c r="F116" s="44" t="str">
        <f t="shared" si="15"/>
        <v>#REF!</v>
      </c>
      <c r="G116" s="49" t="s">
        <v>279</v>
      </c>
      <c r="H116" s="41" t="b">
        <v>1</v>
      </c>
      <c r="I116" s="46" t="s">
        <v>280</v>
      </c>
      <c r="J116" s="42" t="b">
        <v>0</v>
      </c>
      <c r="O116" s="47"/>
      <c r="P116" s="47"/>
      <c r="Q116" s="47"/>
      <c r="R116" s="47"/>
      <c r="S116" s="47"/>
      <c r="T116" s="47"/>
      <c r="U116" s="47"/>
      <c r="V116" s="47"/>
      <c r="W116" s="47"/>
      <c r="X116" s="47"/>
    </row>
    <row r="117">
      <c r="A117" s="34"/>
      <c r="B117" s="34" t="s">
        <v>281</v>
      </c>
      <c r="C117" s="34" t="s">
        <v>282</v>
      </c>
      <c r="D117" s="53" t="s">
        <v>283</v>
      </c>
      <c r="E117" s="36">
        <v>1000.0</v>
      </c>
      <c r="F117" s="37" t="str">
        <f t="shared" si="15"/>
        <v>#REF!</v>
      </c>
      <c r="G117" s="38" t="s">
        <v>197</v>
      </c>
      <c r="H117" s="33" t="b">
        <v>0</v>
      </c>
      <c r="I117" s="48" t="s">
        <v>284</v>
      </c>
      <c r="J117" s="33" t="b">
        <v>0</v>
      </c>
      <c r="O117" s="40"/>
      <c r="P117" s="40"/>
      <c r="Q117" s="40"/>
      <c r="R117" s="40"/>
      <c r="S117" s="40"/>
      <c r="T117" s="40"/>
      <c r="U117" s="40"/>
      <c r="V117" s="40"/>
      <c r="W117" s="40"/>
      <c r="X117" s="40"/>
    </row>
    <row r="118">
      <c r="A118" s="42"/>
      <c r="B118" s="41" t="s">
        <v>281</v>
      </c>
      <c r="C118" s="41" t="s">
        <v>282</v>
      </c>
      <c r="D118" s="41" t="s">
        <v>285</v>
      </c>
      <c r="E118" s="43">
        <v>1100.0</v>
      </c>
      <c r="F118" s="44" t="str">
        <f t="shared" si="15"/>
        <v>#REF!</v>
      </c>
      <c r="G118" s="45"/>
      <c r="H118" s="41" t="b">
        <v>1</v>
      </c>
      <c r="I118" s="51"/>
      <c r="J118" s="42" t="b">
        <v>0</v>
      </c>
      <c r="L118" s="58" t="s">
        <v>286</v>
      </c>
      <c r="O118" s="47"/>
      <c r="P118" s="47"/>
      <c r="Q118" s="47"/>
      <c r="R118" s="47"/>
      <c r="S118" s="47"/>
      <c r="T118" s="47"/>
      <c r="U118" s="47"/>
      <c r="V118" s="47"/>
      <c r="W118" s="47"/>
      <c r="X118" s="47"/>
    </row>
    <row r="119">
      <c r="A119" s="34"/>
      <c r="B119" s="34" t="s">
        <v>281</v>
      </c>
      <c r="C119" s="34" t="s">
        <v>282</v>
      </c>
      <c r="D119" s="34" t="s">
        <v>287</v>
      </c>
      <c r="E119" s="36">
        <v>1100.0</v>
      </c>
      <c r="F119" s="37" t="str">
        <f t="shared" si="15"/>
        <v>#REF!</v>
      </c>
      <c r="G119" s="38" t="s">
        <v>66</v>
      </c>
      <c r="H119" s="34" t="b">
        <v>1</v>
      </c>
      <c r="I119" s="50" t="s">
        <v>288</v>
      </c>
      <c r="J119" s="33" t="b">
        <v>0</v>
      </c>
      <c r="K119" s="33"/>
      <c r="L119" s="52" t="s">
        <v>289</v>
      </c>
      <c r="M119" s="33"/>
      <c r="O119" s="40"/>
      <c r="P119" s="40"/>
      <c r="Q119" s="40"/>
      <c r="R119" s="40"/>
      <c r="S119" s="40"/>
      <c r="T119" s="40"/>
      <c r="U119" s="40"/>
      <c r="V119" s="40"/>
      <c r="W119" s="40"/>
      <c r="X119" s="40"/>
    </row>
    <row r="120">
      <c r="A120" s="41" t="s">
        <v>45</v>
      </c>
      <c r="B120" s="41" t="s">
        <v>281</v>
      </c>
      <c r="C120" s="41" t="s">
        <v>282</v>
      </c>
      <c r="D120" s="41" t="s">
        <v>290</v>
      </c>
      <c r="E120" s="43">
        <v>1500.0</v>
      </c>
      <c r="F120" s="44" t="str">
        <f t="shared" si="15"/>
        <v>#REF!</v>
      </c>
      <c r="G120" s="49" t="s">
        <v>168</v>
      </c>
      <c r="H120" s="41" t="b">
        <v>1</v>
      </c>
      <c r="I120" s="46" t="s">
        <v>291</v>
      </c>
      <c r="J120" s="41" t="b">
        <v>1</v>
      </c>
      <c r="O120" s="47"/>
      <c r="P120" s="47"/>
      <c r="Q120" s="47"/>
      <c r="R120" s="47"/>
      <c r="S120" s="47"/>
      <c r="T120" s="47"/>
      <c r="U120" s="47"/>
      <c r="V120" s="47"/>
      <c r="W120" s="47"/>
      <c r="X120" s="47"/>
    </row>
    <row r="121">
      <c r="A121" s="34" t="s">
        <v>45</v>
      </c>
      <c r="B121" s="34" t="s">
        <v>281</v>
      </c>
      <c r="C121" s="34" t="s">
        <v>282</v>
      </c>
      <c r="D121" s="34" t="s">
        <v>292</v>
      </c>
      <c r="E121" s="36">
        <v>1800.0</v>
      </c>
      <c r="F121" s="37" t="str">
        <f t="shared" si="15"/>
        <v>#REF!</v>
      </c>
      <c r="G121" s="38" t="s">
        <v>66</v>
      </c>
      <c r="H121" s="34" t="b">
        <v>1</v>
      </c>
      <c r="I121" s="48" t="s">
        <v>293</v>
      </c>
      <c r="J121" s="34" t="b">
        <v>1</v>
      </c>
      <c r="O121" s="40"/>
      <c r="P121" s="40"/>
      <c r="Q121" s="40"/>
      <c r="R121" s="40"/>
      <c r="S121" s="40"/>
      <c r="T121" s="40"/>
      <c r="U121" s="40"/>
      <c r="V121" s="40"/>
      <c r="W121" s="40"/>
      <c r="X121" s="40"/>
    </row>
    <row r="122">
      <c r="A122" s="41" t="s">
        <v>45</v>
      </c>
      <c r="B122" s="41" t="s">
        <v>281</v>
      </c>
      <c r="C122" s="41" t="s">
        <v>282</v>
      </c>
      <c r="D122" s="41" t="s">
        <v>294</v>
      </c>
      <c r="E122" s="43">
        <v>1900.0</v>
      </c>
      <c r="F122" s="44" t="str">
        <f t="shared" si="15"/>
        <v>#REF!</v>
      </c>
      <c r="G122" s="49" t="s">
        <v>295</v>
      </c>
      <c r="H122" s="42" t="b">
        <v>0</v>
      </c>
      <c r="I122" s="59" t="s">
        <v>296</v>
      </c>
      <c r="J122" s="42" t="b">
        <v>0</v>
      </c>
      <c r="O122" s="47"/>
      <c r="P122" s="47"/>
      <c r="Q122" s="47"/>
      <c r="R122" s="47"/>
      <c r="S122" s="47"/>
      <c r="T122" s="47"/>
      <c r="U122" s="47"/>
      <c r="V122" s="47"/>
      <c r="W122" s="47"/>
      <c r="X122" s="47"/>
    </row>
    <row r="123">
      <c r="A123" s="34"/>
      <c r="B123" s="34" t="s">
        <v>281</v>
      </c>
      <c r="C123" s="34" t="s">
        <v>282</v>
      </c>
      <c r="D123" s="34" t="s">
        <v>297</v>
      </c>
      <c r="E123" s="36">
        <v>2100.0</v>
      </c>
      <c r="F123" s="37">
        <f>E123*K122*1.16</f>
        <v>0</v>
      </c>
      <c r="G123" s="38" t="s">
        <v>298</v>
      </c>
      <c r="H123" s="34" t="b">
        <v>1</v>
      </c>
      <c r="I123" s="50" t="s">
        <v>299</v>
      </c>
      <c r="J123" s="33" t="b">
        <v>0</v>
      </c>
      <c r="K123" s="33"/>
      <c r="L123" s="52" t="s">
        <v>289</v>
      </c>
      <c r="M123" s="33"/>
      <c r="O123" s="40"/>
      <c r="P123" s="40"/>
      <c r="Q123" s="40"/>
      <c r="R123" s="40"/>
      <c r="S123" s="40"/>
      <c r="T123" s="40"/>
      <c r="U123" s="40"/>
      <c r="V123" s="40"/>
      <c r="W123" s="40"/>
      <c r="X123" s="40"/>
    </row>
    <row r="124">
      <c r="A124" s="41"/>
      <c r="B124" s="41" t="s">
        <v>281</v>
      </c>
      <c r="C124" s="41" t="s">
        <v>282</v>
      </c>
      <c r="D124" s="41" t="s">
        <v>300</v>
      </c>
      <c r="E124" s="43">
        <v>2100.0</v>
      </c>
      <c r="F124" s="44" t="str">
        <f>E124*#REF!*1.16</f>
        <v>#REF!</v>
      </c>
      <c r="G124" s="49" t="s">
        <v>15</v>
      </c>
      <c r="H124" s="41" t="b">
        <v>1</v>
      </c>
      <c r="I124" s="46" t="s">
        <v>301</v>
      </c>
      <c r="J124" s="41" t="b">
        <v>1</v>
      </c>
      <c r="K124" s="42"/>
      <c r="L124" s="42"/>
      <c r="M124" s="42"/>
      <c r="O124" s="47"/>
      <c r="P124" s="47"/>
      <c r="Q124" s="47"/>
      <c r="R124" s="47"/>
      <c r="S124" s="47"/>
      <c r="T124" s="47"/>
      <c r="U124" s="47"/>
      <c r="V124" s="47"/>
      <c r="W124" s="47"/>
      <c r="X124" s="47"/>
    </row>
    <row r="125">
      <c r="A125" s="34" t="s">
        <v>45</v>
      </c>
      <c r="B125" s="34" t="s">
        <v>281</v>
      </c>
      <c r="C125" s="34" t="s">
        <v>282</v>
      </c>
      <c r="D125" s="34" t="s">
        <v>302</v>
      </c>
      <c r="E125" s="36">
        <v>2300.0</v>
      </c>
      <c r="F125" s="37"/>
      <c r="G125" s="38" t="s">
        <v>298</v>
      </c>
      <c r="H125" s="34" t="b">
        <v>0</v>
      </c>
      <c r="I125" s="48" t="s">
        <v>303</v>
      </c>
      <c r="J125" s="33" t="b">
        <v>0</v>
      </c>
      <c r="K125" s="33"/>
      <c r="L125" s="52"/>
      <c r="M125" s="33"/>
      <c r="O125" s="40"/>
      <c r="P125" s="40"/>
      <c r="Q125" s="40"/>
      <c r="R125" s="40"/>
      <c r="S125" s="40"/>
      <c r="T125" s="40"/>
      <c r="U125" s="40"/>
      <c r="V125" s="40"/>
      <c r="W125" s="40"/>
      <c r="X125" s="40"/>
    </row>
    <row r="126">
      <c r="A126" s="41" t="s">
        <v>45</v>
      </c>
      <c r="B126" s="41" t="s">
        <v>281</v>
      </c>
      <c r="C126" s="41" t="s">
        <v>282</v>
      </c>
      <c r="D126" s="41" t="s">
        <v>304</v>
      </c>
      <c r="E126" s="43">
        <v>2400.0</v>
      </c>
      <c r="F126" s="44" t="str">
        <f t="shared" ref="F126:F127" si="16">E126*#REF!*1.16</f>
        <v>#REF!</v>
      </c>
      <c r="G126" s="49" t="s">
        <v>168</v>
      </c>
      <c r="H126" s="41" t="b">
        <v>1</v>
      </c>
      <c r="I126" s="59" t="s">
        <v>305</v>
      </c>
      <c r="J126" s="42" t="b">
        <v>0</v>
      </c>
      <c r="K126" s="42"/>
      <c r="L126" s="42"/>
      <c r="M126" s="42"/>
      <c r="O126" s="47"/>
      <c r="P126" s="47"/>
      <c r="Q126" s="47"/>
      <c r="R126" s="47"/>
      <c r="S126" s="47"/>
      <c r="T126" s="47"/>
      <c r="U126" s="47"/>
      <c r="V126" s="47"/>
      <c r="W126" s="47"/>
      <c r="X126" s="47"/>
    </row>
    <row r="127">
      <c r="A127" s="34"/>
      <c r="B127" s="34" t="s">
        <v>281</v>
      </c>
      <c r="C127" s="34" t="s">
        <v>282</v>
      </c>
      <c r="D127" s="34" t="s">
        <v>306</v>
      </c>
      <c r="E127" s="36">
        <v>2600.0</v>
      </c>
      <c r="F127" s="37" t="str">
        <f t="shared" si="16"/>
        <v>#REF!</v>
      </c>
      <c r="G127" s="38" t="s">
        <v>168</v>
      </c>
      <c r="H127" s="34" t="b">
        <v>1</v>
      </c>
      <c r="I127" s="48" t="s">
        <v>307</v>
      </c>
      <c r="J127" s="34" t="b">
        <v>1</v>
      </c>
      <c r="K127" s="33"/>
      <c r="L127" s="33"/>
      <c r="M127" s="33"/>
      <c r="O127" s="40"/>
      <c r="P127" s="40"/>
      <c r="Q127" s="40"/>
      <c r="R127" s="40"/>
      <c r="S127" s="40"/>
      <c r="T127" s="40"/>
      <c r="U127" s="40"/>
      <c r="V127" s="40"/>
      <c r="W127" s="40"/>
      <c r="X127" s="40"/>
    </row>
    <row r="128">
      <c r="A128" s="42"/>
      <c r="B128" s="41" t="s">
        <v>281</v>
      </c>
      <c r="C128" s="41" t="s">
        <v>282</v>
      </c>
      <c r="D128" s="41" t="s">
        <v>308</v>
      </c>
      <c r="E128" s="43">
        <v>2800.0</v>
      </c>
      <c r="F128" s="44"/>
      <c r="G128" s="49" t="s">
        <v>295</v>
      </c>
      <c r="H128" s="41" t="b">
        <v>1</v>
      </c>
      <c r="I128" s="59" t="s">
        <v>309</v>
      </c>
      <c r="J128" s="42" t="b">
        <v>0</v>
      </c>
      <c r="O128" s="47"/>
      <c r="P128" s="47"/>
      <c r="Q128" s="47"/>
      <c r="R128" s="47"/>
      <c r="S128" s="47"/>
      <c r="T128" s="47"/>
      <c r="U128" s="47"/>
      <c r="V128" s="47"/>
      <c r="W128" s="47"/>
      <c r="X128" s="47"/>
    </row>
    <row r="129">
      <c r="A129" s="34" t="s">
        <v>45</v>
      </c>
      <c r="B129" s="34" t="s">
        <v>281</v>
      </c>
      <c r="C129" s="34" t="s">
        <v>282</v>
      </c>
      <c r="D129" s="34" t="s">
        <v>310</v>
      </c>
      <c r="E129" s="36">
        <v>2800.0</v>
      </c>
      <c r="F129" s="37" t="str">
        <f t="shared" ref="F129:F135" si="17">E129*#REF!*1.16</f>
        <v>#REF!</v>
      </c>
      <c r="G129" s="38" t="s">
        <v>220</v>
      </c>
      <c r="H129" s="34" t="b">
        <v>1</v>
      </c>
      <c r="I129" s="50" t="s">
        <v>311</v>
      </c>
      <c r="J129" s="33" t="b">
        <v>0</v>
      </c>
      <c r="K129" s="33"/>
      <c r="L129" s="33"/>
      <c r="M129" s="33"/>
      <c r="O129" s="40"/>
      <c r="P129" s="40"/>
      <c r="Q129" s="40"/>
      <c r="R129" s="40"/>
      <c r="S129" s="40"/>
      <c r="T129" s="40"/>
      <c r="U129" s="40"/>
      <c r="V129" s="40"/>
      <c r="W129" s="40"/>
      <c r="X129" s="40"/>
    </row>
    <row r="130">
      <c r="A130" s="41"/>
      <c r="B130" s="41" t="s">
        <v>281</v>
      </c>
      <c r="C130" s="41" t="s">
        <v>282</v>
      </c>
      <c r="D130" s="41" t="s">
        <v>312</v>
      </c>
      <c r="E130" s="43">
        <v>3200.0</v>
      </c>
      <c r="F130" s="44" t="str">
        <f t="shared" si="17"/>
        <v>#REF!</v>
      </c>
      <c r="G130" s="49" t="s">
        <v>313</v>
      </c>
      <c r="H130" s="41" t="b">
        <v>1</v>
      </c>
      <c r="I130" s="59" t="s">
        <v>314</v>
      </c>
      <c r="J130" s="41" t="b">
        <v>1</v>
      </c>
      <c r="L130" s="58" t="s">
        <v>289</v>
      </c>
    </row>
    <row r="131">
      <c r="A131" s="33"/>
      <c r="B131" s="34" t="s">
        <v>281</v>
      </c>
      <c r="C131" s="34" t="s">
        <v>282</v>
      </c>
      <c r="D131" s="34" t="s">
        <v>315</v>
      </c>
      <c r="E131" s="36">
        <v>3200.0</v>
      </c>
      <c r="F131" s="37" t="str">
        <f t="shared" si="17"/>
        <v>#REF!</v>
      </c>
      <c r="G131" s="38" t="s">
        <v>298</v>
      </c>
      <c r="H131" s="34" t="b">
        <v>1</v>
      </c>
      <c r="I131" s="50" t="s">
        <v>316</v>
      </c>
      <c r="J131" s="33" t="b">
        <v>0</v>
      </c>
      <c r="K131" s="33"/>
      <c r="L131" s="34" t="s">
        <v>317</v>
      </c>
      <c r="M131" s="33"/>
    </row>
    <row r="132">
      <c r="A132" s="60"/>
      <c r="B132" s="60" t="s">
        <v>281</v>
      </c>
      <c r="C132" s="60" t="s">
        <v>282</v>
      </c>
      <c r="D132" s="60" t="s">
        <v>318</v>
      </c>
      <c r="E132" s="61">
        <v>3200.0</v>
      </c>
      <c r="F132" s="62" t="str">
        <f t="shared" si="17"/>
        <v>#REF!</v>
      </c>
      <c r="G132" s="63" t="s">
        <v>47</v>
      </c>
      <c r="H132" s="60" t="b">
        <v>1</v>
      </c>
      <c r="I132" s="59" t="s">
        <v>319</v>
      </c>
      <c r="J132" s="42" t="b">
        <v>0</v>
      </c>
      <c r="K132" s="42"/>
      <c r="L132" s="42"/>
      <c r="M132" s="42"/>
    </row>
    <row r="133">
      <c r="A133" s="34"/>
      <c r="B133" s="34" t="s">
        <v>281</v>
      </c>
      <c r="C133" s="34" t="s">
        <v>282</v>
      </c>
      <c r="D133" s="34" t="s">
        <v>320</v>
      </c>
      <c r="E133" s="36">
        <v>3300.0</v>
      </c>
      <c r="F133" s="37" t="str">
        <f t="shared" si="17"/>
        <v>#REF!</v>
      </c>
      <c r="G133" s="38" t="s">
        <v>197</v>
      </c>
      <c r="H133" s="33" t="b">
        <v>0</v>
      </c>
      <c r="I133" s="39"/>
      <c r="J133" s="33" t="b">
        <v>0</v>
      </c>
      <c r="K133" s="33"/>
      <c r="L133" s="34" t="s">
        <v>317</v>
      </c>
      <c r="M133" s="33"/>
    </row>
    <row r="134">
      <c r="A134" s="41" t="s">
        <v>45</v>
      </c>
      <c r="B134" s="41" t="s">
        <v>281</v>
      </c>
      <c r="C134" s="41" t="s">
        <v>282</v>
      </c>
      <c r="D134" s="41" t="s">
        <v>321</v>
      </c>
      <c r="E134" s="43">
        <v>3500.0</v>
      </c>
      <c r="F134" s="44" t="str">
        <f t="shared" si="17"/>
        <v>#REF!</v>
      </c>
      <c r="G134" s="49" t="s">
        <v>322</v>
      </c>
      <c r="H134" s="41" t="b">
        <v>1</v>
      </c>
      <c r="I134" s="59" t="s">
        <v>323</v>
      </c>
      <c r="J134" s="41" t="b">
        <v>1</v>
      </c>
      <c r="L134" s="41" t="s">
        <v>317</v>
      </c>
      <c r="O134" s="47"/>
      <c r="P134" s="47"/>
      <c r="Q134" s="47"/>
      <c r="R134" s="47"/>
      <c r="S134" s="47"/>
      <c r="T134" s="47"/>
      <c r="U134" s="47"/>
      <c r="V134" s="47"/>
      <c r="W134" s="47"/>
      <c r="X134" s="47"/>
    </row>
    <row r="135">
      <c r="A135" s="33"/>
      <c r="B135" s="34" t="s">
        <v>281</v>
      </c>
      <c r="C135" s="34" t="s">
        <v>282</v>
      </c>
      <c r="D135" s="34" t="s">
        <v>324</v>
      </c>
      <c r="E135" s="36">
        <v>3900.0</v>
      </c>
      <c r="F135" s="37" t="str">
        <f t="shared" si="17"/>
        <v>#REF!</v>
      </c>
      <c r="G135" s="38" t="s">
        <v>66</v>
      </c>
      <c r="H135" s="34" t="b">
        <v>1</v>
      </c>
      <c r="I135" s="39"/>
      <c r="J135" s="33" t="b">
        <v>0</v>
      </c>
      <c r="L135" s="34" t="s">
        <v>317</v>
      </c>
      <c r="O135" s="40"/>
      <c r="P135" s="40"/>
      <c r="Q135" s="40"/>
      <c r="R135" s="40"/>
      <c r="S135" s="40"/>
      <c r="T135" s="40"/>
      <c r="U135" s="40"/>
      <c r="V135" s="40"/>
      <c r="W135" s="40"/>
      <c r="X135" s="40"/>
    </row>
    <row r="136">
      <c r="A136" s="41"/>
      <c r="B136" s="41" t="s">
        <v>281</v>
      </c>
      <c r="C136" s="41" t="s">
        <v>282</v>
      </c>
      <c r="D136" s="41" t="s">
        <v>325</v>
      </c>
      <c r="E136" s="43">
        <v>3900.0</v>
      </c>
      <c r="F136" s="44">
        <f>E136*K135*1.16</f>
        <v>0</v>
      </c>
      <c r="G136" s="49" t="s">
        <v>66</v>
      </c>
      <c r="H136" s="41" t="b">
        <v>1</v>
      </c>
      <c r="I136" s="46" t="s">
        <v>326</v>
      </c>
      <c r="J136" s="41" t="b">
        <v>1</v>
      </c>
      <c r="K136" s="42"/>
      <c r="L136" s="41" t="s">
        <v>317</v>
      </c>
      <c r="M136" s="42"/>
    </row>
    <row r="137">
      <c r="A137" s="34"/>
      <c r="B137" s="34" t="s">
        <v>281</v>
      </c>
      <c r="C137" s="34" t="s">
        <v>282</v>
      </c>
      <c r="D137" s="34" t="s">
        <v>327</v>
      </c>
      <c r="E137" s="36">
        <v>3999.0</v>
      </c>
      <c r="F137" s="37" t="str">
        <f>E137*#REF!*1.16</f>
        <v>#REF!</v>
      </c>
      <c r="G137" s="54"/>
      <c r="H137" s="33" t="b">
        <v>0</v>
      </c>
      <c r="I137" s="48" t="s">
        <v>328</v>
      </c>
      <c r="J137" s="34" t="b">
        <v>1</v>
      </c>
      <c r="K137" s="33"/>
      <c r="L137" s="33"/>
      <c r="M137" s="33"/>
      <c r="O137" s="40"/>
      <c r="P137" s="40"/>
      <c r="Q137" s="40"/>
      <c r="R137" s="40"/>
      <c r="S137" s="40"/>
      <c r="T137" s="40"/>
      <c r="U137" s="40"/>
      <c r="V137" s="40"/>
      <c r="W137" s="40"/>
      <c r="X137" s="40"/>
    </row>
    <row r="138">
      <c r="A138" s="41" t="s">
        <v>45</v>
      </c>
      <c r="B138" s="41" t="s">
        <v>281</v>
      </c>
      <c r="C138" s="41" t="s">
        <v>282</v>
      </c>
      <c r="D138" s="41" t="s">
        <v>329</v>
      </c>
      <c r="E138" s="43">
        <v>14000.0</v>
      </c>
      <c r="F138" s="44">
        <f>E138*K137*1.16</f>
        <v>0</v>
      </c>
      <c r="G138" s="49" t="s">
        <v>129</v>
      </c>
      <c r="H138" s="41" t="b">
        <v>1</v>
      </c>
      <c r="I138" s="59" t="s">
        <v>330</v>
      </c>
      <c r="J138" s="41" t="b">
        <v>1</v>
      </c>
      <c r="K138" s="42"/>
      <c r="L138" s="58" t="s">
        <v>289</v>
      </c>
      <c r="M138" s="42"/>
      <c r="O138" s="47"/>
      <c r="P138" s="47"/>
      <c r="Q138" s="47"/>
      <c r="R138" s="47"/>
      <c r="S138" s="47"/>
      <c r="T138" s="47"/>
      <c r="U138" s="47"/>
      <c r="V138" s="47"/>
      <c r="W138" s="47"/>
      <c r="X138" s="47"/>
    </row>
    <row r="139">
      <c r="A139" s="34" t="s">
        <v>45</v>
      </c>
      <c r="B139" s="34" t="s">
        <v>281</v>
      </c>
      <c r="C139" s="34" t="s">
        <v>331</v>
      </c>
      <c r="D139" s="34" t="s">
        <v>332</v>
      </c>
      <c r="E139" s="36">
        <v>2000.0</v>
      </c>
      <c r="F139" s="37" t="str">
        <f t="shared" ref="F139:F142" si="18">E139*#REF!*1.16</f>
        <v>#REF!</v>
      </c>
      <c r="G139" s="38" t="s">
        <v>78</v>
      </c>
      <c r="H139" s="34" t="b">
        <v>1</v>
      </c>
      <c r="I139" s="48" t="s">
        <v>333</v>
      </c>
      <c r="J139" s="33" t="b">
        <v>0</v>
      </c>
      <c r="K139" s="33"/>
      <c r="L139" s="33"/>
      <c r="M139" s="33"/>
      <c r="O139" s="40"/>
      <c r="P139" s="40"/>
      <c r="Q139" s="40"/>
      <c r="R139" s="40"/>
      <c r="S139" s="40"/>
      <c r="T139" s="40"/>
      <c r="U139" s="40"/>
      <c r="V139" s="40"/>
      <c r="W139" s="40"/>
      <c r="X139" s="40"/>
    </row>
    <row r="140">
      <c r="A140" s="41" t="s">
        <v>45</v>
      </c>
      <c r="B140" s="41" t="s">
        <v>281</v>
      </c>
      <c r="C140" s="41" t="s">
        <v>331</v>
      </c>
      <c r="D140" s="41" t="s">
        <v>334</v>
      </c>
      <c r="E140" s="43">
        <v>2500.0</v>
      </c>
      <c r="F140" s="44" t="str">
        <f t="shared" si="18"/>
        <v>#REF!</v>
      </c>
      <c r="G140" s="49" t="s">
        <v>335</v>
      </c>
      <c r="H140" s="41" t="b">
        <v>1</v>
      </c>
      <c r="I140" s="46" t="s">
        <v>336</v>
      </c>
      <c r="J140" s="42" t="b">
        <v>0</v>
      </c>
      <c r="O140" s="47"/>
      <c r="P140" s="47"/>
      <c r="Q140" s="47"/>
      <c r="R140" s="47"/>
      <c r="S140" s="47"/>
      <c r="T140" s="47"/>
      <c r="U140" s="47"/>
      <c r="V140" s="47"/>
      <c r="W140" s="47"/>
      <c r="X140" s="47"/>
    </row>
    <row r="141">
      <c r="A141" s="34" t="s">
        <v>45</v>
      </c>
      <c r="B141" s="34" t="s">
        <v>281</v>
      </c>
      <c r="C141" s="34" t="s">
        <v>331</v>
      </c>
      <c r="D141" s="34" t="s">
        <v>337</v>
      </c>
      <c r="E141" s="36">
        <v>3200.0</v>
      </c>
      <c r="F141" s="37" t="str">
        <f t="shared" si="18"/>
        <v>#REF!</v>
      </c>
      <c r="G141" s="38" t="s">
        <v>78</v>
      </c>
      <c r="H141" s="33" t="b">
        <v>0</v>
      </c>
      <c r="I141" s="64" t="s">
        <v>338</v>
      </c>
      <c r="J141" s="33" t="b">
        <v>0</v>
      </c>
      <c r="K141" s="33"/>
      <c r="L141" s="33"/>
      <c r="M141" s="33"/>
    </row>
    <row r="142">
      <c r="A142" s="41"/>
      <c r="B142" s="41" t="s">
        <v>281</v>
      </c>
      <c r="C142" s="41" t="s">
        <v>331</v>
      </c>
      <c r="D142" s="41" t="s">
        <v>339</v>
      </c>
      <c r="E142" s="43">
        <v>3500.0</v>
      </c>
      <c r="F142" s="44" t="str">
        <f t="shared" si="18"/>
        <v>#REF!</v>
      </c>
      <c r="G142" s="49" t="s">
        <v>340</v>
      </c>
      <c r="H142" s="42" t="b">
        <v>0</v>
      </c>
      <c r="I142" s="46" t="s">
        <v>341</v>
      </c>
      <c r="J142" s="42" t="b">
        <v>0</v>
      </c>
      <c r="K142" s="42"/>
      <c r="L142" s="42"/>
      <c r="M142" s="42"/>
    </row>
    <row r="143">
      <c r="A143" s="34"/>
      <c r="B143" s="34" t="s">
        <v>281</v>
      </c>
      <c r="C143" s="34" t="s">
        <v>331</v>
      </c>
      <c r="D143" s="34" t="s">
        <v>342</v>
      </c>
      <c r="E143" s="36">
        <v>4500.0</v>
      </c>
      <c r="F143" s="37">
        <f>E143*K142*1.16</f>
        <v>0</v>
      </c>
      <c r="G143" s="38" t="s">
        <v>343</v>
      </c>
      <c r="H143" s="34" t="b">
        <v>1</v>
      </c>
      <c r="I143" s="48" t="s">
        <v>344</v>
      </c>
      <c r="J143" s="34" t="b">
        <v>1</v>
      </c>
      <c r="K143" s="33"/>
      <c r="L143" s="34" t="s">
        <v>317</v>
      </c>
      <c r="M143" s="33"/>
      <c r="O143" s="40"/>
      <c r="P143" s="40"/>
      <c r="Q143" s="40"/>
      <c r="R143" s="40"/>
      <c r="S143" s="40"/>
      <c r="T143" s="40"/>
      <c r="U143" s="40"/>
      <c r="V143" s="40"/>
      <c r="W143" s="40"/>
      <c r="X143" s="40"/>
    </row>
    <row r="144">
      <c r="A144" s="41"/>
      <c r="B144" s="41" t="s">
        <v>281</v>
      </c>
      <c r="C144" s="41" t="s">
        <v>331</v>
      </c>
      <c r="D144" s="41" t="s">
        <v>345</v>
      </c>
      <c r="E144" s="43">
        <v>5400.0</v>
      </c>
      <c r="F144" s="44" t="str">
        <f>E144*#REF!*1.16</f>
        <v>#REF!</v>
      </c>
      <c r="G144" s="49" t="s">
        <v>78</v>
      </c>
      <c r="H144" s="41" t="b">
        <v>1</v>
      </c>
      <c r="I144" s="46" t="s">
        <v>346</v>
      </c>
      <c r="J144" s="41" t="b">
        <v>1</v>
      </c>
      <c r="K144" s="42"/>
      <c r="L144" s="41" t="s">
        <v>317</v>
      </c>
      <c r="M144" s="42"/>
      <c r="O144" s="47"/>
      <c r="P144" s="47"/>
      <c r="Q144" s="47"/>
      <c r="R144" s="47"/>
      <c r="S144" s="47"/>
      <c r="T144" s="47"/>
      <c r="U144" s="47"/>
      <c r="V144" s="47"/>
      <c r="W144" s="47"/>
      <c r="X144" s="47"/>
    </row>
    <row r="145">
      <c r="A145" s="34"/>
      <c r="B145" s="34" t="s">
        <v>281</v>
      </c>
      <c r="C145" s="34" t="s">
        <v>331</v>
      </c>
      <c r="D145" s="34" t="s">
        <v>347</v>
      </c>
      <c r="E145" s="36">
        <v>6900.0</v>
      </c>
      <c r="F145" s="37">
        <f>E145*K2283*1.16</f>
        <v>0</v>
      </c>
      <c r="G145" s="38" t="s">
        <v>348</v>
      </c>
      <c r="H145" s="33" t="b">
        <v>0</v>
      </c>
      <c r="I145" s="48" t="s">
        <v>349</v>
      </c>
      <c r="J145" s="34" t="b">
        <v>1</v>
      </c>
      <c r="K145" s="33"/>
      <c r="L145" s="34" t="s">
        <v>317</v>
      </c>
      <c r="M145" s="33"/>
    </row>
    <row r="146">
      <c r="A146" s="41" t="s">
        <v>45</v>
      </c>
      <c r="B146" s="41" t="s">
        <v>281</v>
      </c>
      <c r="C146" s="41" t="s">
        <v>331</v>
      </c>
      <c r="D146" s="41" t="s">
        <v>350</v>
      </c>
      <c r="E146" s="43"/>
      <c r="F146" s="44" t="str">
        <f t="shared" ref="F146:F149" si="19">E146*#REF!*1.16</f>
        <v>#REF!</v>
      </c>
      <c r="G146" s="49" t="s">
        <v>78</v>
      </c>
      <c r="H146" s="42" t="b">
        <v>0</v>
      </c>
      <c r="I146" s="51"/>
      <c r="J146" s="42" t="b">
        <v>0</v>
      </c>
      <c r="K146" s="42"/>
      <c r="L146" s="42"/>
      <c r="M146" s="42"/>
      <c r="O146" s="47"/>
      <c r="P146" s="47"/>
      <c r="Q146" s="47"/>
      <c r="R146" s="47"/>
      <c r="S146" s="47"/>
      <c r="T146" s="47"/>
      <c r="U146" s="47"/>
      <c r="V146" s="47"/>
      <c r="W146" s="47"/>
      <c r="X146" s="47"/>
    </row>
    <row r="147">
      <c r="A147" s="34" t="s">
        <v>45</v>
      </c>
      <c r="B147" s="34" t="s">
        <v>281</v>
      </c>
      <c r="C147" s="33"/>
      <c r="D147" s="34" t="s">
        <v>351</v>
      </c>
      <c r="E147" s="36">
        <v>300.0</v>
      </c>
      <c r="F147" s="37" t="str">
        <f t="shared" si="19"/>
        <v>#REF!</v>
      </c>
      <c r="G147" s="38" t="s">
        <v>206</v>
      </c>
      <c r="H147" s="33" t="b">
        <v>0</v>
      </c>
      <c r="I147" s="48" t="s">
        <v>352</v>
      </c>
      <c r="J147" s="33" t="b">
        <v>0</v>
      </c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</row>
    <row r="148">
      <c r="A148" s="42"/>
      <c r="B148" s="41" t="s">
        <v>281</v>
      </c>
      <c r="C148" s="42"/>
      <c r="D148" s="41" t="s">
        <v>353</v>
      </c>
      <c r="E148" s="43">
        <v>350.0</v>
      </c>
      <c r="F148" s="44" t="str">
        <f t="shared" si="19"/>
        <v>#REF!</v>
      </c>
      <c r="G148" s="49" t="s">
        <v>66</v>
      </c>
      <c r="H148" s="41" t="b">
        <v>1</v>
      </c>
      <c r="I148" s="59" t="s">
        <v>354</v>
      </c>
      <c r="J148" s="42" t="b">
        <v>0</v>
      </c>
      <c r="K148" s="42"/>
      <c r="L148" s="58" t="s">
        <v>289</v>
      </c>
      <c r="M148" s="42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</row>
    <row r="149">
      <c r="A149" s="33"/>
      <c r="B149" s="34" t="s">
        <v>281</v>
      </c>
      <c r="C149" s="33"/>
      <c r="D149" s="34" t="s">
        <v>355</v>
      </c>
      <c r="E149" s="36">
        <v>399.0</v>
      </c>
      <c r="F149" s="37" t="str">
        <f t="shared" si="19"/>
        <v>#REF!</v>
      </c>
      <c r="G149" s="38" t="s">
        <v>66</v>
      </c>
      <c r="H149" s="33" t="b">
        <v>0</v>
      </c>
      <c r="I149" s="48" t="s">
        <v>356</v>
      </c>
      <c r="J149" s="33" t="b">
        <v>0</v>
      </c>
      <c r="K149" s="33"/>
      <c r="L149" s="52" t="s">
        <v>289</v>
      </c>
      <c r="M149" s="33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</row>
    <row r="150">
      <c r="A150" s="65"/>
      <c r="B150" s="60" t="s">
        <v>281</v>
      </c>
      <c r="C150" s="65"/>
      <c r="D150" s="60" t="s">
        <v>357</v>
      </c>
      <c r="E150" s="61">
        <v>450.0</v>
      </c>
      <c r="F150" s="62"/>
      <c r="G150" s="66"/>
      <c r="H150" s="60" t="b">
        <v>1</v>
      </c>
      <c r="I150" s="46" t="s">
        <v>358</v>
      </c>
      <c r="J150" s="42" t="b">
        <v>0</v>
      </c>
      <c r="O150" s="47"/>
      <c r="P150" s="47"/>
      <c r="Q150" s="47"/>
      <c r="R150" s="47"/>
      <c r="S150" s="47"/>
      <c r="T150" s="47"/>
      <c r="U150" s="47"/>
      <c r="V150" s="47"/>
      <c r="W150" s="47"/>
      <c r="X150" s="47"/>
    </row>
    <row r="151">
      <c r="A151" s="33"/>
      <c r="B151" s="34" t="s">
        <v>281</v>
      </c>
      <c r="C151" s="33"/>
      <c r="D151" s="34" t="s">
        <v>359</v>
      </c>
      <c r="E151" s="36">
        <v>500.0</v>
      </c>
      <c r="F151" s="37"/>
      <c r="G151" s="38" t="s">
        <v>360</v>
      </c>
      <c r="H151" s="34" t="b">
        <v>0</v>
      </c>
      <c r="I151" s="39"/>
      <c r="J151" s="33" t="b">
        <v>0</v>
      </c>
      <c r="O151" s="40"/>
      <c r="P151" s="40"/>
      <c r="Q151" s="40"/>
      <c r="R151" s="40"/>
      <c r="S151" s="40"/>
      <c r="T151" s="40"/>
      <c r="U151" s="40"/>
      <c r="V151" s="40"/>
      <c r="W151" s="40"/>
      <c r="X151" s="40"/>
    </row>
    <row r="152">
      <c r="A152" s="41"/>
      <c r="B152" s="41" t="s">
        <v>281</v>
      </c>
      <c r="C152" s="41"/>
      <c r="D152" s="41" t="s">
        <v>361</v>
      </c>
      <c r="E152" s="43">
        <v>500.0</v>
      </c>
      <c r="F152" s="44" t="str">
        <f t="shared" ref="F152:F153" si="20">E152*#REF!*1.16</f>
        <v>#REF!</v>
      </c>
      <c r="G152" s="49" t="s">
        <v>66</v>
      </c>
      <c r="H152" s="41" t="b">
        <v>1</v>
      </c>
      <c r="I152" s="51"/>
      <c r="J152" s="42" t="b">
        <v>0</v>
      </c>
      <c r="K152" s="42"/>
      <c r="L152" s="58" t="s">
        <v>286</v>
      </c>
      <c r="M152" s="42"/>
      <c r="N152" s="47"/>
    </row>
    <row r="153">
      <c r="A153" s="34"/>
      <c r="B153" s="34" t="s">
        <v>281</v>
      </c>
      <c r="C153" s="34"/>
      <c r="D153" s="34" t="s">
        <v>362</v>
      </c>
      <c r="E153" s="36">
        <v>550.0</v>
      </c>
      <c r="F153" s="37" t="str">
        <f t="shared" si="20"/>
        <v>#REF!</v>
      </c>
      <c r="G153" s="38" t="s">
        <v>66</v>
      </c>
      <c r="H153" s="33" t="b">
        <v>0</v>
      </c>
      <c r="I153" s="39"/>
      <c r="J153" s="33" t="b">
        <v>0</v>
      </c>
      <c r="K153" s="33"/>
      <c r="L153" s="52" t="s">
        <v>289</v>
      </c>
      <c r="M153" s="33"/>
      <c r="N153" s="40"/>
    </row>
    <row r="154">
      <c r="A154" s="42"/>
      <c r="B154" s="41" t="s">
        <v>281</v>
      </c>
      <c r="C154" s="42"/>
      <c r="D154" s="41" t="s">
        <v>363</v>
      </c>
      <c r="E154" s="43">
        <v>600.0</v>
      </c>
      <c r="F154" s="44"/>
      <c r="G154" s="45"/>
      <c r="H154" s="41" t="b">
        <v>1</v>
      </c>
      <c r="I154" s="51"/>
      <c r="J154" s="42" t="b">
        <v>0</v>
      </c>
      <c r="O154" s="47"/>
      <c r="P154" s="47"/>
      <c r="Q154" s="47"/>
      <c r="R154" s="47"/>
      <c r="S154" s="47"/>
      <c r="T154" s="47"/>
      <c r="U154" s="47"/>
      <c r="V154" s="47"/>
      <c r="W154" s="47"/>
      <c r="X154" s="47"/>
    </row>
    <row r="155">
      <c r="A155" s="65"/>
      <c r="B155" s="60" t="s">
        <v>281</v>
      </c>
      <c r="C155" s="65"/>
      <c r="D155" s="60" t="s">
        <v>364</v>
      </c>
      <c r="E155" s="61">
        <v>700.0</v>
      </c>
      <c r="F155" s="62"/>
      <c r="G155" s="66"/>
      <c r="H155" s="60" t="b">
        <v>1</v>
      </c>
      <c r="I155" s="39"/>
      <c r="J155" s="33" t="b">
        <v>0</v>
      </c>
      <c r="O155" s="40"/>
      <c r="P155" s="40"/>
      <c r="Q155" s="40"/>
      <c r="R155" s="40"/>
      <c r="S155" s="40"/>
      <c r="T155" s="40"/>
      <c r="U155" s="40"/>
      <c r="V155" s="40"/>
      <c r="W155" s="40"/>
      <c r="X155" s="40"/>
    </row>
    <row r="156">
      <c r="A156" s="65"/>
      <c r="B156" s="60" t="s">
        <v>281</v>
      </c>
      <c r="C156" s="65"/>
      <c r="D156" s="60" t="s">
        <v>365</v>
      </c>
      <c r="E156" s="61">
        <v>750.0</v>
      </c>
      <c r="F156" s="62"/>
      <c r="G156" s="66"/>
      <c r="H156" s="65" t="b">
        <v>0</v>
      </c>
      <c r="I156" s="51"/>
      <c r="J156" s="42" t="b">
        <v>0</v>
      </c>
      <c r="O156" s="47"/>
      <c r="P156" s="47"/>
      <c r="Q156" s="47"/>
      <c r="R156" s="47"/>
      <c r="S156" s="47"/>
      <c r="T156" s="47"/>
      <c r="U156" s="47"/>
      <c r="V156" s="47"/>
      <c r="W156" s="47"/>
      <c r="X156" s="47"/>
    </row>
    <row r="157">
      <c r="A157" s="34" t="s">
        <v>89</v>
      </c>
      <c r="B157" s="34" t="s">
        <v>281</v>
      </c>
      <c r="C157" s="33"/>
      <c r="D157" s="34" t="s">
        <v>366</v>
      </c>
      <c r="E157" s="36">
        <v>800.0</v>
      </c>
      <c r="F157" s="37"/>
      <c r="G157" s="54"/>
      <c r="H157" s="34" t="b">
        <v>1</v>
      </c>
      <c r="I157" s="48" t="s">
        <v>367</v>
      </c>
      <c r="J157" s="33" t="b">
        <v>0</v>
      </c>
      <c r="O157" s="40"/>
      <c r="P157" s="40"/>
      <c r="Q157" s="40"/>
      <c r="R157" s="40"/>
      <c r="S157" s="40"/>
      <c r="T157" s="40"/>
      <c r="U157" s="40"/>
      <c r="V157" s="40"/>
      <c r="W157" s="40"/>
      <c r="X157" s="40"/>
    </row>
    <row r="158">
      <c r="A158" s="41" t="s">
        <v>89</v>
      </c>
      <c r="B158" s="41" t="s">
        <v>281</v>
      </c>
      <c r="C158" s="42"/>
      <c r="D158" s="41" t="s">
        <v>368</v>
      </c>
      <c r="E158" s="43">
        <v>850.0</v>
      </c>
      <c r="F158" s="44"/>
      <c r="G158" s="45"/>
      <c r="H158" s="41" t="b">
        <v>1</v>
      </c>
      <c r="I158" s="51"/>
      <c r="J158" s="42" t="b">
        <v>0</v>
      </c>
    </row>
    <row r="159">
      <c r="A159" s="34"/>
      <c r="B159" s="34" t="s">
        <v>281</v>
      </c>
      <c r="C159" s="34"/>
      <c r="D159" s="34" t="s">
        <v>369</v>
      </c>
      <c r="E159" s="36">
        <v>850.0</v>
      </c>
      <c r="F159" s="37" t="str">
        <f>E159*#REF!*1.16</f>
        <v>#REF!</v>
      </c>
      <c r="G159" s="38" t="s">
        <v>197</v>
      </c>
      <c r="H159" s="34" t="b">
        <v>1</v>
      </c>
      <c r="I159" s="39"/>
      <c r="J159" s="33" t="b">
        <v>0</v>
      </c>
      <c r="K159" s="33"/>
      <c r="L159" s="33"/>
      <c r="M159" s="33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</row>
    <row r="160">
      <c r="A160" s="41" t="s">
        <v>89</v>
      </c>
      <c r="B160" s="41" t="s">
        <v>281</v>
      </c>
      <c r="C160" s="42"/>
      <c r="D160" s="41" t="s">
        <v>370</v>
      </c>
      <c r="E160" s="43">
        <v>800.0</v>
      </c>
      <c r="F160" s="44"/>
      <c r="G160" s="45"/>
      <c r="H160" s="41" t="b">
        <v>1</v>
      </c>
      <c r="I160" s="46" t="s">
        <v>371</v>
      </c>
      <c r="J160" s="42" t="b">
        <v>0</v>
      </c>
    </row>
    <row r="161">
      <c r="A161" s="33"/>
      <c r="B161" s="34" t="s">
        <v>281</v>
      </c>
      <c r="C161" s="33"/>
      <c r="D161" s="34" t="s">
        <v>372</v>
      </c>
      <c r="E161" s="36">
        <v>900.0</v>
      </c>
      <c r="F161" s="37"/>
      <c r="G161" s="54"/>
      <c r="H161" s="34" t="b">
        <v>1</v>
      </c>
      <c r="I161" s="39"/>
      <c r="J161" s="33" t="b">
        <v>0</v>
      </c>
    </row>
    <row r="162">
      <c r="A162" s="42"/>
      <c r="B162" s="41" t="s">
        <v>281</v>
      </c>
      <c r="C162" s="42"/>
      <c r="D162" s="41" t="s">
        <v>373</v>
      </c>
      <c r="E162" s="43">
        <v>1050.0</v>
      </c>
      <c r="F162" s="44" t="str">
        <f>E162*#REF!*1.16</f>
        <v>#REF!</v>
      </c>
      <c r="G162" s="49" t="s">
        <v>374</v>
      </c>
      <c r="H162" s="41" t="b">
        <v>1</v>
      </c>
      <c r="I162" s="46" t="s">
        <v>375</v>
      </c>
      <c r="J162" s="42" t="b">
        <v>0</v>
      </c>
      <c r="O162" s="47"/>
      <c r="P162" s="47"/>
      <c r="Q162" s="47"/>
      <c r="R162" s="47"/>
      <c r="S162" s="47"/>
      <c r="T162" s="47"/>
      <c r="U162" s="47"/>
      <c r="V162" s="47"/>
      <c r="W162" s="47"/>
      <c r="X162" s="47"/>
    </row>
    <row r="163">
      <c r="A163" s="33"/>
      <c r="B163" s="34" t="s">
        <v>281</v>
      </c>
      <c r="C163" s="33"/>
      <c r="D163" s="34" t="s">
        <v>376</v>
      </c>
      <c r="E163" s="36">
        <v>1100.0</v>
      </c>
      <c r="F163" s="37"/>
      <c r="G163" s="38" t="s">
        <v>377</v>
      </c>
      <c r="H163" s="34" t="b">
        <v>1</v>
      </c>
      <c r="I163" s="39"/>
      <c r="J163" s="33" t="b">
        <v>0</v>
      </c>
      <c r="O163" s="40"/>
      <c r="P163" s="40"/>
      <c r="Q163" s="40"/>
      <c r="R163" s="40"/>
      <c r="S163" s="40"/>
      <c r="T163" s="40"/>
      <c r="U163" s="40"/>
      <c r="V163" s="40"/>
      <c r="W163" s="40"/>
      <c r="X163" s="40"/>
    </row>
    <row r="164">
      <c r="A164" s="41" t="s">
        <v>89</v>
      </c>
      <c r="B164" s="41" t="s">
        <v>281</v>
      </c>
      <c r="C164" s="42"/>
      <c r="D164" s="41" t="s">
        <v>378</v>
      </c>
      <c r="E164" s="43">
        <v>1100.0</v>
      </c>
      <c r="F164" s="44"/>
      <c r="G164" s="45"/>
      <c r="H164" s="41" t="b">
        <v>1</v>
      </c>
      <c r="I164" s="51"/>
      <c r="J164" s="42" t="b">
        <v>0</v>
      </c>
      <c r="O164" s="47"/>
      <c r="P164" s="47"/>
      <c r="Q164" s="47"/>
      <c r="R164" s="47"/>
      <c r="S164" s="47"/>
      <c r="T164" s="47"/>
      <c r="U164" s="47"/>
      <c r="V164" s="47"/>
      <c r="W164" s="47"/>
      <c r="X164" s="47"/>
    </row>
    <row r="165">
      <c r="A165" s="34" t="s">
        <v>45</v>
      </c>
      <c r="B165" s="34" t="s">
        <v>281</v>
      </c>
      <c r="C165" s="33"/>
      <c r="D165" s="34" t="s">
        <v>379</v>
      </c>
      <c r="E165" s="36">
        <v>1100.0</v>
      </c>
      <c r="F165" s="37"/>
      <c r="G165" s="38" t="s">
        <v>220</v>
      </c>
      <c r="H165" s="34" t="b">
        <v>1</v>
      </c>
      <c r="I165" s="48" t="s">
        <v>380</v>
      </c>
      <c r="J165" s="33" t="b">
        <v>0</v>
      </c>
    </row>
    <row r="166">
      <c r="A166" s="42"/>
      <c r="B166" s="41" t="s">
        <v>281</v>
      </c>
      <c r="C166" s="42"/>
      <c r="D166" s="57" t="s">
        <v>381</v>
      </c>
      <c r="E166" s="43">
        <v>1200.0</v>
      </c>
      <c r="F166" s="44" t="str">
        <f>E166*#REF!*1.16</f>
        <v>#REF!</v>
      </c>
      <c r="G166" s="49" t="s">
        <v>197</v>
      </c>
      <c r="H166" s="41" t="b">
        <v>1</v>
      </c>
      <c r="I166" s="46" t="s">
        <v>382</v>
      </c>
      <c r="J166" s="42" t="b">
        <v>0</v>
      </c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</row>
    <row r="167">
      <c r="A167" s="34" t="s">
        <v>89</v>
      </c>
      <c r="B167" s="34" t="s">
        <v>281</v>
      </c>
      <c r="C167" s="33"/>
      <c r="D167" s="34" t="s">
        <v>383</v>
      </c>
      <c r="E167" s="36">
        <v>1200.0</v>
      </c>
      <c r="F167" s="37"/>
      <c r="G167" s="38" t="s">
        <v>384</v>
      </c>
      <c r="H167" s="34" t="b">
        <v>1</v>
      </c>
      <c r="I167" s="48" t="s">
        <v>385</v>
      </c>
      <c r="J167" s="33" t="b">
        <v>0</v>
      </c>
    </row>
    <row r="168">
      <c r="A168" s="41" t="s">
        <v>45</v>
      </c>
      <c r="B168" s="41" t="s">
        <v>281</v>
      </c>
      <c r="C168" s="42"/>
      <c r="D168" s="41" t="s">
        <v>386</v>
      </c>
      <c r="E168" s="43">
        <v>1300.0</v>
      </c>
      <c r="F168" s="44" t="str">
        <f>E168*#REF!*1.16</f>
        <v>#REF!</v>
      </c>
      <c r="G168" s="49" t="s">
        <v>15</v>
      </c>
      <c r="H168" s="41" t="b">
        <v>1</v>
      </c>
      <c r="I168" s="51"/>
      <c r="J168" s="42" t="b">
        <v>0</v>
      </c>
    </row>
    <row r="169">
      <c r="A169" s="60" t="s">
        <v>45</v>
      </c>
      <c r="B169" s="60" t="s">
        <v>281</v>
      </c>
      <c r="C169" s="65"/>
      <c r="D169" s="60" t="s">
        <v>387</v>
      </c>
      <c r="E169" s="61">
        <v>1400.0</v>
      </c>
      <c r="F169" s="62"/>
      <c r="G169" s="66"/>
      <c r="H169" s="60" t="b">
        <v>1</v>
      </c>
      <c r="I169" s="48" t="s">
        <v>388</v>
      </c>
      <c r="J169" s="33" t="b">
        <v>0</v>
      </c>
      <c r="O169" s="40"/>
      <c r="P169" s="40"/>
      <c r="Q169" s="40"/>
      <c r="R169" s="40"/>
      <c r="S169" s="40"/>
      <c r="T169" s="40"/>
      <c r="U169" s="40"/>
      <c r="V169" s="40"/>
      <c r="W169" s="40"/>
      <c r="X169" s="40"/>
    </row>
    <row r="170">
      <c r="A170" s="42"/>
      <c r="B170" s="41" t="s">
        <v>281</v>
      </c>
      <c r="C170" s="42"/>
      <c r="D170" s="41" t="s">
        <v>389</v>
      </c>
      <c r="E170" s="43">
        <v>1800.0</v>
      </c>
      <c r="F170" s="44"/>
      <c r="G170" s="45"/>
      <c r="H170" s="41" t="b">
        <v>1</v>
      </c>
      <c r="I170" s="51"/>
      <c r="J170" s="42" t="b">
        <v>0</v>
      </c>
    </row>
    <row r="171">
      <c r="A171" s="34" t="s">
        <v>45</v>
      </c>
      <c r="B171" s="34" t="s">
        <v>281</v>
      </c>
      <c r="C171" s="33"/>
      <c r="D171" s="34" t="s">
        <v>390</v>
      </c>
      <c r="E171" s="36">
        <v>2000.0</v>
      </c>
      <c r="F171" s="37"/>
      <c r="G171" s="38" t="s">
        <v>197</v>
      </c>
      <c r="H171" s="34" t="b">
        <v>1</v>
      </c>
      <c r="I171" s="48" t="s">
        <v>391</v>
      </c>
      <c r="J171" s="33" t="b">
        <v>0</v>
      </c>
      <c r="O171" s="40"/>
      <c r="P171" s="40"/>
      <c r="Q171" s="40"/>
      <c r="R171" s="40"/>
      <c r="S171" s="40"/>
      <c r="T171" s="40"/>
      <c r="U171" s="40"/>
      <c r="V171" s="40"/>
      <c r="W171" s="40"/>
      <c r="X171" s="40"/>
    </row>
    <row r="172">
      <c r="A172" s="41" t="s">
        <v>89</v>
      </c>
      <c r="B172" s="41" t="s">
        <v>281</v>
      </c>
      <c r="C172" s="42"/>
      <c r="D172" s="41" t="s">
        <v>392</v>
      </c>
      <c r="E172" s="43">
        <v>2250.0</v>
      </c>
      <c r="F172" s="44"/>
      <c r="G172" s="45"/>
      <c r="H172" s="41" t="b">
        <v>1</v>
      </c>
      <c r="I172" s="59" t="s">
        <v>393</v>
      </c>
      <c r="J172" s="42" t="b">
        <v>0</v>
      </c>
      <c r="O172" s="47"/>
      <c r="P172" s="47"/>
      <c r="Q172" s="47"/>
      <c r="R172" s="47"/>
      <c r="S172" s="47"/>
      <c r="T172" s="47"/>
      <c r="U172" s="47"/>
      <c r="V172" s="47"/>
      <c r="W172" s="47"/>
      <c r="X172" s="47"/>
    </row>
    <row r="173">
      <c r="A173" s="34" t="s">
        <v>89</v>
      </c>
      <c r="B173" s="34" t="s">
        <v>281</v>
      </c>
      <c r="C173" s="33"/>
      <c r="D173" s="35" t="s">
        <v>394</v>
      </c>
      <c r="E173" s="36">
        <v>2350.0</v>
      </c>
      <c r="F173" s="37"/>
      <c r="G173" s="38" t="s">
        <v>15</v>
      </c>
      <c r="H173" s="34" t="b">
        <v>1</v>
      </c>
      <c r="I173" s="39"/>
      <c r="J173" s="33" t="b">
        <v>0</v>
      </c>
      <c r="O173" s="40"/>
      <c r="P173" s="40"/>
      <c r="Q173" s="40"/>
      <c r="R173" s="40"/>
      <c r="S173" s="40"/>
      <c r="T173" s="40"/>
      <c r="U173" s="40"/>
      <c r="V173" s="40"/>
      <c r="W173" s="40"/>
      <c r="X173" s="40"/>
    </row>
    <row r="174">
      <c r="A174" s="13" t="s">
        <v>45</v>
      </c>
      <c r="B174" s="13" t="s">
        <v>281</v>
      </c>
      <c r="C174" s="12"/>
      <c r="D174" s="13" t="s">
        <v>395</v>
      </c>
      <c r="E174" s="14">
        <v>2500.0</v>
      </c>
      <c r="F174" s="15"/>
      <c r="G174" s="26"/>
      <c r="H174" s="13" t="b">
        <v>1</v>
      </c>
      <c r="I174" s="30" t="s">
        <v>396</v>
      </c>
      <c r="J174" s="12" t="b">
        <v>0</v>
      </c>
    </row>
    <row r="175">
      <c r="A175" s="19" t="s">
        <v>45</v>
      </c>
      <c r="B175" s="19" t="s">
        <v>281</v>
      </c>
      <c r="C175" s="19"/>
      <c r="D175" s="19" t="s">
        <v>397</v>
      </c>
      <c r="E175" s="20">
        <v>2599.0</v>
      </c>
      <c r="F175" s="21" t="str">
        <f>E175*#REF!*1.16</f>
        <v>#REF!</v>
      </c>
      <c r="G175" s="22" t="s">
        <v>398</v>
      </c>
      <c r="H175" s="19" t="b">
        <v>1</v>
      </c>
      <c r="I175" s="25" t="s">
        <v>399</v>
      </c>
      <c r="J175" s="18" t="b">
        <v>0</v>
      </c>
      <c r="K175" s="18"/>
      <c r="L175" s="18"/>
      <c r="M175" s="18"/>
      <c r="N175" s="24"/>
    </row>
    <row r="176">
      <c r="A176" s="13" t="s">
        <v>45</v>
      </c>
      <c r="B176" s="13" t="s">
        <v>281</v>
      </c>
      <c r="C176" s="12"/>
      <c r="D176" s="13" t="s">
        <v>400</v>
      </c>
      <c r="E176" s="14">
        <v>2400.0</v>
      </c>
      <c r="F176" s="15"/>
      <c r="G176" s="26"/>
      <c r="H176" s="13" t="b">
        <v>1</v>
      </c>
      <c r="I176" s="17" t="s">
        <v>401</v>
      </c>
      <c r="J176" s="12" t="b">
        <v>0</v>
      </c>
    </row>
    <row r="177">
      <c r="A177" s="19" t="s">
        <v>45</v>
      </c>
      <c r="B177" s="19" t="s">
        <v>281</v>
      </c>
      <c r="C177" s="19"/>
      <c r="D177" s="19" t="s">
        <v>402</v>
      </c>
      <c r="E177" s="20">
        <v>2700.0</v>
      </c>
      <c r="F177" s="15" t="str">
        <f>E177*#REF!*1.16</f>
        <v>#REF!</v>
      </c>
      <c r="G177" s="22" t="s">
        <v>66</v>
      </c>
      <c r="H177" s="19" t="b">
        <v>1</v>
      </c>
      <c r="I177" s="25" t="s">
        <v>403</v>
      </c>
      <c r="J177" s="19" t="b">
        <v>1</v>
      </c>
      <c r="K177" s="18"/>
      <c r="L177" s="18"/>
      <c r="M177" s="18"/>
      <c r="N177" s="24"/>
    </row>
    <row r="178">
      <c r="A178" s="13" t="s">
        <v>45</v>
      </c>
      <c r="B178" s="19" t="s">
        <v>281</v>
      </c>
      <c r="C178" s="12"/>
      <c r="D178" s="13" t="s">
        <v>404</v>
      </c>
      <c r="E178" s="14">
        <v>2950.0</v>
      </c>
      <c r="F178" s="15">
        <f>E178*K177*1.16</f>
        <v>0</v>
      </c>
      <c r="G178" s="16" t="s">
        <v>47</v>
      </c>
      <c r="H178" s="13" t="b">
        <v>1</v>
      </c>
      <c r="I178" s="67" t="s">
        <v>405</v>
      </c>
      <c r="J178" s="13" t="b">
        <v>1</v>
      </c>
      <c r="K178" s="18"/>
      <c r="L178" s="18"/>
      <c r="M178" s="18"/>
      <c r="N178" s="24"/>
    </row>
    <row r="179">
      <c r="A179" s="13" t="s">
        <v>89</v>
      </c>
      <c r="B179" s="13" t="s">
        <v>281</v>
      </c>
      <c r="C179" s="12"/>
      <c r="D179" s="13" t="s">
        <v>406</v>
      </c>
      <c r="E179" s="14">
        <v>2300.0</v>
      </c>
      <c r="F179" s="15"/>
      <c r="G179" s="26"/>
      <c r="H179" s="13" t="b">
        <v>1</v>
      </c>
      <c r="I179" s="17" t="s">
        <v>407</v>
      </c>
      <c r="J179" s="12" t="b">
        <v>0</v>
      </c>
      <c r="O179" s="24"/>
      <c r="P179" s="24"/>
      <c r="Q179" s="24"/>
      <c r="R179" s="24"/>
      <c r="S179" s="24"/>
      <c r="T179" s="24"/>
      <c r="U179" s="24"/>
      <c r="V179" s="24"/>
      <c r="W179" s="24"/>
      <c r="X179" s="24"/>
    </row>
    <row r="180">
      <c r="A180" s="13" t="s">
        <v>89</v>
      </c>
      <c r="B180" s="13" t="s">
        <v>281</v>
      </c>
      <c r="C180" s="12"/>
      <c r="D180" s="13" t="s">
        <v>408</v>
      </c>
      <c r="E180" s="14">
        <v>2600.0</v>
      </c>
      <c r="F180" s="15"/>
      <c r="G180" s="16" t="s">
        <v>409</v>
      </c>
      <c r="H180" s="12" t="b">
        <v>0</v>
      </c>
      <c r="I180" s="17" t="s">
        <v>410</v>
      </c>
      <c r="J180" s="12" t="b">
        <v>0</v>
      </c>
      <c r="O180" s="24"/>
      <c r="P180" s="24"/>
      <c r="Q180" s="24"/>
      <c r="R180" s="24"/>
      <c r="S180" s="24"/>
      <c r="T180" s="24"/>
      <c r="U180" s="24"/>
      <c r="V180" s="24"/>
      <c r="W180" s="24"/>
      <c r="X180" s="24"/>
    </row>
    <row r="181">
      <c r="A181" s="60" t="b">
        <v>1</v>
      </c>
      <c r="B181" s="60" t="s">
        <v>281</v>
      </c>
      <c r="C181" s="65"/>
      <c r="D181" s="60" t="s">
        <v>411</v>
      </c>
      <c r="E181" s="61">
        <v>3400.0</v>
      </c>
      <c r="F181" s="15" t="str">
        <f>E181*#REF!*1.16</f>
        <v>#REF!</v>
      </c>
      <c r="G181" s="66"/>
      <c r="H181" s="60" t="b">
        <v>1</v>
      </c>
      <c r="I181" s="30" t="s">
        <v>412</v>
      </c>
      <c r="J181" s="12" t="b">
        <v>0</v>
      </c>
    </row>
    <row r="182">
      <c r="A182" s="13" t="s">
        <v>45</v>
      </c>
      <c r="B182" s="13" t="s">
        <v>281</v>
      </c>
      <c r="C182" s="12"/>
      <c r="D182" s="13" t="s">
        <v>413</v>
      </c>
      <c r="E182" s="14">
        <v>3600.0</v>
      </c>
      <c r="F182" s="15">
        <f>E182*K30*1.16</f>
        <v>0</v>
      </c>
      <c r="G182" s="26"/>
      <c r="H182" s="13" t="b">
        <v>1</v>
      </c>
      <c r="I182" s="17" t="s">
        <v>414</v>
      </c>
      <c r="J182" s="13" t="b">
        <v>1</v>
      </c>
    </row>
    <row r="183">
      <c r="A183" s="19"/>
      <c r="B183" s="19" t="s">
        <v>281</v>
      </c>
      <c r="C183" s="19"/>
      <c r="D183" s="13" t="s">
        <v>415</v>
      </c>
      <c r="E183" s="20">
        <v>3800.0</v>
      </c>
      <c r="F183" s="15" t="str">
        <f>E183*#REF!*1.16</f>
        <v>#REF!</v>
      </c>
      <c r="G183" s="22" t="s">
        <v>348</v>
      </c>
      <c r="H183" s="19" t="b">
        <v>1</v>
      </c>
      <c r="I183" s="25" t="s">
        <v>416</v>
      </c>
      <c r="J183" s="18" t="b">
        <v>0</v>
      </c>
      <c r="K183" s="18"/>
      <c r="L183" s="18"/>
      <c r="M183" s="18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</row>
    <row r="184">
      <c r="A184" s="12"/>
      <c r="B184" s="13" t="s">
        <v>281</v>
      </c>
      <c r="C184" s="12"/>
      <c r="D184" s="13" t="s">
        <v>417</v>
      </c>
      <c r="E184" s="14">
        <v>4000.0</v>
      </c>
      <c r="F184" s="15">
        <f>E184*K182*1.16</f>
        <v>0</v>
      </c>
      <c r="G184" s="26"/>
      <c r="H184" s="13" t="b">
        <v>1</v>
      </c>
      <c r="I184" s="17" t="s">
        <v>418</v>
      </c>
      <c r="J184" s="13" t="b">
        <v>1</v>
      </c>
      <c r="O184" s="24"/>
      <c r="P184" s="24"/>
      <c r="Q184" s="24"/>
      <c r="R184" s="24"/>
      <c r="S184" s="24"/>
      <c r="T184" s="24"/>
      <c r="U184" s="24"/>
      <c r="V184" s="24"/>
      <c r="W184" s="24"/>
      <c r="X184" s="24"/>
    </row>
    <row r="185">
      <c r="A185" s="13"/>
      <c r="B185" s="13" t="s">
        <v>281</v>
      </c>
      <c r="C185" s="12"/>
      <c r="D185" s="13" t="s">
        <v>419</v>
      </c>
      <c r="E185" s="14">
        <v>4199.0</v>
      </c>
      <c r="F185" s="15" t="str">
        <f>E185*#REF!*1.16</f>
        <v>#REF!</v>
      </c>
      <c r="G185" s="26"/>
      <c r="H185" s="12" t="b">
        <v>0</v>
      </c>
      <c r="I185" s="17" t="s">
        <v>420</v>
      </c>
      <c r="J185" s="13" t="b">
        <v>1</v>
      </c>
      <c r="K185" s="12"/>
      <c r="L185" s="12"/>
      <c r="M185" s="12"/>
    </row>
    <row r="186">
      <c r="A186" s="13" t="s">
        <v>89</v>
      </c>
      <c r="B186" s="13" t="s">
        <v>281</v>
      </c>
      <c r="C186" s="12"/>
      <c r="D186" s="13" t="s">
        <v>421</v>
      </c>
      <c r="E186" s="14">
        <v>4300.0</v>
      </c>
      <c r="F186" s="15"/>
      <c r="G186" s="16" t="s">
        <v>422</v>
      </c>
      <c r="H186" s="13" t="b">
        <v>1</v>
      </c>
      <c r="I186" s="17" t="s">
        <v>423</v>
      </c>
      <c r="J186" s="12" t="b">
        <v>0</v>
      </c>
    </row>
    <row r="187">
      <c r="A187" s="12"/>
      <c r="B187" s="13" t="s">
        <v>281</v>
      </c>
      <c r="C187" s="12"/>
      <c r="D187" s="13" t="s">
        <v>424</v>
      </c>
      <c r="E187" s="14">
        <v>4900.0</v>
      </c>
      <c r="F187" s="15" t="str">
        <f t="shared" ref="F187:F188" si="21">E187*#REF!*1.16</f>
        <v>#REF!</v>
      </c>
      <c r="G187" s="16" t="s">
        <v>425</v>
      </c>
      <c r="H187" s="13" t="b">
        <v>1</v>
      </c>
      <c r="I187" s="17" t="s">
        <v>426</v>
      </c>
      <c r="J187" s="13" t="b">
        <v>1</v>
      </c>
      <c r="O187" s="24"/>
      <c r="P187" s="24"/>
      <c r="Q187" s="24"/>
      <c r="R187" s="24"/>
      <c r="S187" s="24"/>
      <c r="T187" s="24"/>
      <c r="U187" s="24"/>
      <c r="V187" s="24"/>
      <c r="W187" s="24"/>
      <c r="X187" s="24"/>
    </row>
    <row r="188">
      <c r="A188" s="13" t="s">
        <v>45</v>
      </c>
      <c r="B188" s="13" t="s">
        <v>281</v>
      </c>
      <c r="C188" s="12"/>
      <c r="D188" s="13" t="s">
        <v>427</v>
      </c>
      <c r="E188" s="14">
        <v>6999.0</v>
      </c>
      <c r="F188" s="15" t="str">
        <f t="shared" si="21"/>
        <v>#REF!</v>
      </c>
      <c r="G188" s="26"/>
      <c r="H188" s="13" t="b">
        <v>1</v>
      </c>
      <c r="I188" s="17" t="s">
        <v>428</v>
      </c>
      <c r="J188" s="13" t="b">
        <v>1</v>
      </c>
      <c r="O188" s="24"/>
      <c r="P188" s="24"/>
      <c r="Q188" s="24"/>
      <c r="R188" s="24"/>
      <c r="S188" s="24"/>
      <c r="T188" s="24"/>
      <c r="U188" s="24"/>
      <c r="V188" s="24"/>
      <c r="W188" s="24"/>
      <c r="X188" s="24"/>
    </row>
    <row r="189">
      <c r="A189" s="13" t="s">
        <v>45</v>
      </c>
      <c r="B189" s="13" t="s">
        <v>281</v>
      </c>
      <c r="C189" s="12"/>
      <c r="D189" s="31" t="s">
        <v>429</v>
      </c>
      <c r="E189" s="68">
        <v>16000.0</v>
      </c>
      <c r="F189" s="21"/>
      <c r="G189" s="16" t="s">
        <v>430</v>
      </c>
      <c r="H189" s="13" t="b">
        <v>1</v>
      </c>
      <c r="I189" s="17" t="s">
        <v>431</v>
      </c>
      <c r="J189" s="12" t="b">
        <v>0</v>
      </c>
      <c r="K189" s="69" t="s">
        <v>197</v>
      </c>
    </row>
    <row r="190">
      <c r="A190" s="13" t="s">
        <v>45</v>
      </c>
      <c r="B190" s="13" t="s">
        <v>218</v>
      </c>
      <c r="C190" s="12"/>
      <c r="D190" s="13" t="s">
        <v>432</v>
      </c>
      <c r="E190" s="14">
        <v>120.0</v>
      </c>
      <c r="F190" s="15"/>
      <c r="G190" s="16" t="s">
        <v>231</v>
      </c>
      <c r="H190" s="13" t="b">
        <v>1</v>
      </c>
      <c r="I190" s="28"/>
      <c r="J190" s="12" t="b">
        <v>0</v>
      </c>
    </row>
    <row r="191">
      <c r="A191" s="12"/>
      <c r="B191" s="13" t="s">
        <v>218</v>
      </c>
      <c r="C191" s="12"/>
      <c r="D191" s="13" t="s">
        <v>433</v>
      </c>
      <c r="E191" s="14">
        <v>350.0</v>
      </c>
      <c r="F191" s="15"/>
      <c r="G191" s="16" t="s">
        <v>231</v>
      </c>
      <c r="H191" s="13" t="b">
        <v>1</v>
      </c>
      <c r="I191" s="28"/>
      <c r="J191" s="12" t="b">
        <v>0</v>
      </c>
    </row>
    <row r="192">
      <c r="A192" s="13" t="s">
        <v>89</v>
      </c>
      <c r="B192" s="13" t="s">
        <v>218</v>
      </c>
      <c r="C192" s="12"/>
      <c r="D192" s="13" t="s">
        <v>434</v>
      </c>
      <c r="E192" s="14">
        <v>600.0</v>
      </c>
      <c r="F192" s="15"/>
      <c r="G192" s="26"/>
      <c r="H192" s="13" t="b">
        <v>1</v>
      </c>
      <c r="I192" s="17" t="s">
        <v>435</v>
      </c>
      <c r="J192" s="12" t="b">
        <v>0</v>
      </c>
      <c r="O192" s="24"/>
      <c r="P192" s="24"/>
      <c r="Q192" s="24"/>
      <c r="R192" s="24"/>
      <c r="S192" s="24"/>
      <c r="T192" s="24"/>
      <c r="U192" s="24"/>
      <c r="V192" s="24"/>
      <c r="W192" s="24"/>
      <c r="X192" s="24"/>
    </row>
    <row r="193">
      <c r="A193" s="19"/>
      <c r="B193" s="19" t="s">
        <v>436</v>
      </c>
      <c r="C193" s="19" t="s">
        <v>437</v>
      </c>
      <c r="D193" s="19" t="s">
        <v>438</v>
      </c>
      <c r="E193" s="20">
        <v>950.0</v>
      </c>
      <c r="F193" s="21" t="str">
        <f t="shared" ref="F193:F196" si="22">E193*#REF!*1.16</f>
        <v>#REF!</v>
      </c>
      <c r="G193" s="22" t="s">
        <v>439</v>
      </c>
      <c r="H193" s="19" t="b">
        <v>1</v>
      </c>
      <c r="I193" s="25" t="s">
        <v>440</v>
      </c>
      <c r="J193" s="18" t="b">
        <v>0</v>
      </c>
      <c r="K193" s="18"/>
      <c r="L193" s="18"/>
      <c r="M193" s="18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</row>
    <row r="194">
      <c r="A194" s="18"/>
      <c r="B194" s="19" t="s">
        <v>436</v>
      </c>
      <c r="C194" s="19" t="s">
        <v>437</v>
      </c>
      <c r="D194" s="19" t="s">
        <v>441</v>
      </c>
      <c r="E194" s="20">
        <v>2900.0</v>
      </c>
      <c r="F194" s="21" t="str">
        <f t="shared" si="22"/>
        <v>#REF!</v>
      </c>
      <c r="G194" s="22">
        <v>2200.0</v>
      </c>
      <c r="H194" s="19" t="b">
        <v>1</v>
      </c>
      <c r="I194" s="23"/>
      <c r="J194" s="18" t="b">
        <v>0</v>
      </c>
      <c r="K194" s="18"/>
      <c r="L194" s="18"/>
      <c r="M194" s="18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</row>
    <row r="195">
      <c r="A195" s="18"/>
      <c r="B195" s="19" t="s">
        <v>436</v>
      </c>
      <c r="C195" s="18"/>
      <c r="D195" s="19" t="s">
        <v>442</v>
      </c>
      <c r="E195" s="20">
        <v>1150.0</v>
      </c>
      <c r="F195" s="21" t="str">
        <f t="shared" si="22"/>
        <v>#REF!</v>
      </c>
      <c r="G195" s="22" t="s">
        <v>168</v>
      </c>
      <c r="H195" s="18" t="b">
        <v>0</v>
      </c>
      <c r="I195" s="25" t="s">
        <v>443</v>
      </c>
      <c r="J195" s="18" t="b">
        <v>0</v>
      </c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</row>
    <row r="196">
      <c r="A196" s="18"/>
      <c r="B196" s="19" t="s">
        <v>436</v>
      </c>
      <c r="C196" s="18"/>
      <c r="D196" s="19" t="s">
        <v>444</v>
      </c>
      <c r="E196" s="20">
        <v>1400.0</v>
      </c>
      <c r="F196" s="21" t="str">
        <f t="shared" si="22"/>
        <v>#REF!</v>
      </c>
      <c r="G196" s="29"/>
      <c r="H196" s="19" t="b">
        <v>1</v>
      </c>
      <c r="I196" s="23"/>
      <c r="J196" s="18" t="b">
        <v>0</v>
      </c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</row>
    <row r="197">
      <c r="A197" s="19"/>
      <c r="B197" s="19" t="s">
        <v>445</v>
      </c>
      <c r="C197" s="18"/>
      <c r="D197" s="70" t="s">
        <v>446</v>
      </c>
      <c r="E197" s="20">
        <v>50.0</v>
      </c>
      <c r="F197" s="21">
        <f t="shared" ref="F197:F198" si="23">E197*K196*1.16</f>
        <v>0</v>
      </c>
      <c r="G197" s="29"/>
      <c r="H197" s="19" t="b">
        <v>1</v>
      </c>
      <c r="I197" s="25" t="s">
        <v>447</v>
      </c>
      <c r="J197" s="18" t="b">
        <v>0</v>
      </c>
      <c r="K197" s="24"/>
      <c r="L197" s="19" t="s">
        <v>317</v>
      </c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</row>
    <row r="198">
      <c r="A198" s="19"/>
      <c r="B198" s="19" t="s">
        <v>445</v>
      </c>
      <c r="C198" s="18"/>
      <c r="D198" s="70" t="s">
        <v>448</v>
      </c>
      <c r="E198" s="20">
        <v>65.0</v>
      </c>
      <c r="F198" s="21">
        <f t="shared" si="23"/>
        <v>0</v>
      </c>
      <c r="G198" s="29"/>
      <c r="H198" s="19" t="b">
        <v>1</v>
      </c>
      <c r="I198" s="25" t="s">
        <v>447</v>
      </c>
      <c r="J198" s="18" t="b">
        <v>0</v>
      </c>
      <c r="K198" s="24"/>
      <c r="L198" s="19" t="s">
        <v>317</v>
      </c>
      <c r="M198" s="24"/>
      <c r="N198" s="24"/>
    </row>
    <row r="199">
      <c r="A199" s="19"/>
      <c r="B199" s="19" t="s">
        <v>445</v>
      </c>
      <c r="C199" s="18"/>
      <c r="D199" s="70" t="s">
        <v>449</v>
      </c>
      <c r="E199" s="20">
        <v>65.0</v>
      </c>
      <c r="F199" s="21">
        <f>E199*K197*1.16</f>
        <v>0</v>
      </c>
      <c r="G199" s="29"/>
      <c r="H199" s="19" t="b">
        <v>1</v>
      </c>
      <c r="I199" s="25" t="s">
        <v>447</v>
      </c>
      <c r="J199" s="18" t="b">
        <v>0</v>
      </c>
      <c r="K199" s="24"/>
      <c r="L199" s="19" t="s">
        <v>317</v>
      </c>
      <c r="M199" s="24"/>
      <c r="N199" s="24"/>
    </row>
    <row r="200">
      <c r="A200" s="19"/>
      <c r="B200" s="19" t="s">
        <v>445</v>
      </c>
      <c r="C200" s="18"/>
      <c r="D200" s="70" t="s">
        <v>450</v>
      </c>
      <c r="E200" s="20">
        <v>75.0</v>
      </c>
      <c r="F200" s="21" t="str">
        <f>E200*#REF!*1.16</f>
        <v>#REF!</v>
      </c>
      <c r="G200" s="29"/>
      <c r="H200" s="19" t="b">
        <v>1</v>
      </c>
      <c r="I200" s="25" t="s">
        <v>447</v>
      </c>
      <c r="J200" s="18" t="b">
        <v>0</v>
      </c>
      <c r="K200" s="24"/>
      <c r="L200" s="19" t="s">
        <v>317</v>
      </c>
      <c r="M200" s="24"/>
      <c r="N200" s="24"/>
    </row>
    <row r="201">
      <c r="A201" s="19"/>
      <c r="B201" s="19" t="s">
        <v>445</v>
      </c>
      <c r="C201" s="18"/>
      <c r="D201" s="19" t="s">
        <v>451</v>
      </c>
      <c r="E201" s="20">
        <v>80.0</v>
      </c>
      <c r="F201" s="21">
        <f>E201*K199*1.16</f>
        <v>0</v>
      </c>
      <c r="G201" s="29"/>
      <c r="H201" s="19" t="b">
        <v>1</v>
      </c>
      <c r="I201" s="23"/>
      <c r="J201" s="18" t="b">
        <v>0</v>
      </c>
      <c r="K201" s="24"/>
      <c r="L201" s="19" t="s">
        <v>317</v>
      </c>
      <c r="M201" s="24"/>
      <c r="N201" s="24"/>
    </row>
    <row r="202">
      <c r="A202" s="12"/>
      <c r="B202" s="13" t="s">
        <v>445</v>
      </c>
      <c r="C202" s="12"/>
      <c r="D202" s="13" t="s">
        <v>452</v>
      </c>
      <c r="E202" s="14">
        <v>100.0</v>
      </c>
      <c r="F202" s="15"/>
      <c r="G202" s="26"/>
      <c r="H202" s="12" t="b">
        <v>0</v>
      </c>
      <c r="I202" s="30" t="s">
        <v>453</v>
      </c>
      <c r="J202" s="12" t="b">
        <v>0</v>
      </c>
    </row>
    <row r="203">
      <c r="A203" s="19"/>
      <c r="B203" s="19" t="s">
        <v>445</v>
      </c>
      <c r="C203" s="19"/>
      <c r="D203" s="19" t="s">
        <v>454</v>
      </c>
      <c r="E203" s="20">
        <v>100.0</v>
      </c>
      <c r="F203" s="21">
        <f>E203*K201*1.16</f>
        <v>0</v>
      </c>
      <c r="G203" s="29"/>
      <c r="H203" s="19" t="b">
        <v>1</v>
      </c>
      <c r="I203" s="25" t="s">
        <v>22</v>
      </c>
      <c r="J203" s="18" t="b">
        <v>0</v>
      </c>
      <c r="K203" s="24"/>
      <c r="L203" s="19" t="s">
        <v>317</v>
      </c>
      <c r="M203" s="24"/>
      <c r="N203" s="24"/>
    </row>
    <row r="204">
      <c r="A204" s="19"/>
      <c r="B204" s="19" t="s">
        <v>445</v>
      </c>
      <c r="C204" s="19"/>
      <c r="D204" s="19" t="s">
        <v>455</v>
      </c>
      <c r="E204" s="20">
        <v>100.0</v>
      </c>
      <c r="F204" s="21">
        <f>E204*K201*1.16</f>
        <v>0</v>
      </c>
      <c r="G204" s="22"/>
      <c r="H204" s="18" t="b">
        <v>0</v>
      </c>
      <c r="I204" s="23"/>
      <c r="J204" s="18" t="b">
        <v>0</v>
      </c>
      <c r="K204" s="24"/>
      <c r="L204" s="19" t="s">
        <v>317</v>
      </c>
      <c r="M204" s="24"/>
      <c r="N204" s="24"/>
    </row>
    <row r="205">
      <c r="A205" s="12"/>
      <c r="B205" s="13" t="s">
        <v>445</v>
      </c>
      <c r="C205" s="12"/>
      <c r="D205" s="13" t="s">
        <v>456</v>
      </c>
      <c r="E205" s="14">
        <v>101.0</v>
      </c>
      <c r="F205" s="15"/>
      <c r="G205" s="16" t="s">
        <v>15</v>
      </c>
      <c r="H205" s="13" t="b">
        <v>1</v>
      </c>
      <c r="I205" s="30" t="s">
        <v>457</v>
      </c>
      <c r="J205" s="12" t="b">
        <v>0</v>
      </c>
    </row>
    <row r="206">
      <c r="A206" s="19"/>
      <c r="B206" s="19" t="s">
        <v>445</v>
      </c>
      <c r="C206" s="18"/>
      <c r="D206" s="70" t="s">
        <v>458</v>
      </c>
      <c r="E206" s="20">
        <v>110.0</v>
      </c>
      <c r="F206" s="21">
        <f>E206*K205*1.16</f>
        <v>0</v>
      </c>
      <c r="G206" s="29"/>
      <c r="H206" s="19" t="b">
        <v>1</v>
      </c>
      <c r="I206" s="25" t="s">
        <v>447</v>
      </c>
      <c r="J206" s="18" t="b">
        <v>0</v>
      </c>
      <c r="K206" s="24"/>
      <c r="L206" s="19" t="s">
        <v>317</v>
      </c>
      <c r="M206" s="24"/>
      <c r="N206" s="24"/>
    </row>
    <row r="207">
      <c r="A207" s="19" t="s">
        <v>45</v>
      </c>
      <c r="B207" s="19" t="s">
        <v>445</v>
      </c>
      <c r="C207" s="19"/>
      <c r="D207" s="71" t="s">
        <v>459</v>
      </c>
      <c r="E207" s="20">
        <v>115.0</v>
      </c>
      <c r="F207" s="21">
        <f>E207*K205*1.16</f>
        <v>0</v>
      </c>
      <c r="G207" s="29"/>
      <c r="H207" s="19" t="b">
        <v>1</v>
      </c>
      <c r="I207" s="25" t="s">
        <v>22</v>
      </c>
      <c r="J207" s="18" t="b">
        <v>0</v>
      </c>
      <c r="K207" s="24"/>
      <c r="L207" s="19" t="s">
        <v>317</v>
      </c>
      <c r="M207" s="24"/>
      <c r="N207" s="24"/>
    </row>
    <row r="208">
      <c r="A208" s="18"/>
      <c r="B208" s="19" t="s">
        <v>445</v>
      </c>
      <c r="C208" s="18"/>
      <c r="D208" s="71" t="s">
        <v>460</v>
      </c>
      <c r="E208" s="20">
        <v>120.0</v>
      </c>
      <c r="F208" s="21" t="str">
        <f>E208*#REF!*1.16</f>
        <v>#REF!</v>
      </c>
      <c r="G208" s="29"/>
      <c r="H208" s="18" t="b">
        <v>0</v>
      </c>
      <c r="I208" s="72" t="s">
        <v>198</v>
      </c>
      <c r="J208" s="18" t="b">
        <v>0</v>
      </c>
      <c r="K208" s="24"/>
      <c r="L208" s="19" t="s">
        <v>317</v>
      </c>
      <c r="M208" s="24"/>
      <c r="N208" s="24"/>
    </row>
    <row r="209">
      <c r="A209" s="13" t="s">
        <v>45</v>
      </c>
      <c r="B209" s="13" t="s">
        <v>445</v>
      </c>
      <c r="C209" s="12"/>
      <c r="D209" s="71" t="s">
        <v>461</v>
      </c>
      <c r="E209" s="14">
        <v>120.0</v>
      </c>
      <c r="F209" s="15"/>
      <c r="G209" s="26"/>
      <c r="H209" s="12" t="b">
        <v>0</v>
      </c>
      <c r="I209" s="28"/>
      <c r="J209" s="12" t="b">
        <v>0</v>
      </c>
    </row>
    <row r="210">
      <c r="A210" s="19"/>
      <c r="B210" s="19" t="s">
        <v>445</v>
      </c>
      <c r="C210" s="18"/>
      <c r="D210" s="70" t="s">
        <v>462</v>
      </c>
      <c r="E210" s="20">
        <v>150.0</v>
      </c>
      <c r="F210" s="21">
        <f>E210*K207*1.16</f>
        <v>0</v>
      </c>
      <c r="G210" s="29"/>
      <c r="H210" s="19" t="b">
        <v>1</v>
      </c>
      <c r="I210" s="25" t="s">
        <v>463</v>
      </c>
      <c r="J210" s="18" t="b">
        <v>0</v>
      </c>
      <c r="K210" s="24"/>
      <c r="L210" s="19" t="s">
        <v>317</v>
      </c>
      <c r="M210" s="24"/>
      <c r="N210" s="24"/>
    </row>
    <row r="211">
      <c r="A211" s="18"/>
      <c r="B211" s="19" t="s">
        <v>445</v>
      </c>
      <c r="C211" s="18"/>
      <c r="D211" s="19" t="s">
        <v>464</v>
      </c>
      <c r="E211" s="20">
        <v>150.0</v>
      </c>
      <c r="F211" s="21">
        <f>E211*K210*1.16</f>
        <v>0</v>
      </c>
      <c r="G211" s="29"/>
      <c r="H211" s="18" t="b">
        <v>0</v>
      </c>
      <c r="I211" s="72" t="s">
        <v>198</v>
      </c>
      <c r="J211" s="18" t="b">
        <v>0</v>
      </c>
      <c r="K211" s="24"/>
      <c r="L211" s="19" t="s">
        <v>317</v>
      </c>
      <c r="M211" s="24"/>
      <c r="N211" s="24"/>
    </row>
    <row r="212">
      <c r="A212" s="12"/>
      <c r="B212" s="13" t="s">
        <v>445</v>
      </c>
      <c r="C212" s="12"/>
      <c r="D212" s="71" t="s">
        <v>465</v>
      </c>
      <c r="E212" s="14">
        <v>150.0</v>
      </c>
      <c r="F212" s="15"/>
      <c r="G212" s="16" t="s">
        <v>466</v>
      </c>
      <c r="H212" s="12" t="b">
        <v>0</v>
      </c>
      <c r="I212" s="28"/>
      <c r="J212" s="12" t="b">
        <v>0</v>
      </c>
    </row>
    <row r="213">
      <c r="A213" s="19"/>
      <c r="B213" s="19" t="s">
        <v>445</v>
      </c>
      <c r="C213" s="18"/>
      <c r="D213" s="19" t="s">
        <v>467</v>
      </c>
      <c r="E213" s="20">
        <v>150.0</v>
      </c>
      <c r="F213" s="21">
        <f>E213*K212*1.16</f>
        <v>0</v>
      </c>
      <c r="G213" s="29"/>
      <c r="H213" s="19" t="b">
        <v>1</v>
      </c>
      <c r="I213" s="23"/>
      <c r="J213" s="18" t="b">
        <v>0</v>
      </c>
      <c r="K213" s="24"/>
      <c r="L213" s="19" t="s">
        <v>317</v>
      </c>
      <c r="M213" s="24"/>
      <c r="N213" s="24"/>
    </row>
    <row r="214">
      <c r="A214" s="19" t="s">
        <v>45</v>
      </c>
      <c r="B214" s="19" t="s">
        <v>445</v>
      </c>
      <c r="C214" s="73"/>
      <c r="D214" s="74" t="s">
        <v>468</v>
      </c>
      <c r="E214" s="20">
        <v>160.0</v>
      </c>
      <c r="F214" s="21">
        <f>E214*K212*1.16</f>
        <v>0</v>
      </c>
      <c r="G214" s="29"/>
      <c r="H214" s="19" t="b">
        <v>1</v>
      </c>
      <c r="I214" s="23"/>
      <c r="J214" s="18" t="b">
        <v>0</v>
      </c>
      <c r="K214" s="24"/>
      <c r="L214" s="19" t="s">
        <v>317</v>
      </c>
      <c r="M214" s="24"/>
      <c r="N214" s="24"/>
    </row>
    <row r="215">
      <c r="A215" s="13" t="s">
        <v>45</v>
      </c>
      <c r="B215" s="13" t="s">
        <v>445</v>
      </c>
      <c r="C215" s="12"/>
      <c r="D215" s="13" t="s">
        <v>469</v>
      </c>
      <c r="E215" s="14">
        <v>160.0</v>
      </c>
      <c r="F215" s="15"/>
      <c r="G215" s="16" t="s">
        <v>470</v>
      </c>
      <c r="H215" s="13" t="b">
        <v>1</v>
      </c>
      <c r="I215" s="17" t="s">
        <v>471</v>
      </c>
      <c r="J215" s="12" t="b">
        <v>0</v>
      </c>
    </row>
    <row r="216">
      <c r="A216" s="12"/>
      <c r="B216" s="13" t="s">
        <v>445</v>
      </c>
      <c r="C216" s="12"/>
      <c r="D216" s="13" t="s">
        <v>472</v>
      </c>
      <c r="E216" s="14">
        <v>165.0</v>
      </c>
      <c r="F216" s="15"/>
      <c r="G216" s="26"/>
      <c r="H216" s="12" t="b">
        <v>0</v>
      </c>
      <c r="I216" s="28"/>
      <c r="J216" s="12" t="b">
        <v>0</v>
      </c>
    </row>
    <row r="217">
      <c r="A217" s="19"/>
      <c r="B217" s="19" t="s">
        <v>445</v>
      </c>
      <c r="C217" s="18"/>
      <c r="D217" s="70" t="s">
        <v>473</v>
      </c>
      <c r="E217" s="20">
        <v>170.0</v>
      </c>
      <c r="F217" s="21">
        <f>E217*K215*1.16</f>
        <v>0</v>
      </c>
      <c r="G217" s="29"/>
      <c r="H217" s="18" t="b">
        <v>0</v>
      </c>
      <c r="I217" s="25" t="s">
        <v>474</v>
      </c>
      <c r="J217" s="18" t="b">
        <v>0</v>
      </c>
      <c r="K217" s="24"/>
      <c r="L217" s="19" t="s">
        <v>317</v>
      </c>
      <c r="M217" s="24"/>
      <c r="N217" s="24"/>
    </row>
    <row r="218">
      <c r="A218" s="19"/>
      <c r="B218" s="19" t="s">
        <v>445</v>
      </c>
      <c r="C218" s="18"/>
      <c r="D218" s="70" t="s">
        <v>475</v>
      </c>
      <c r="E218" s="20">
        <v>170.0</v>
      </c>
      <c r="F218" s="21" t="str">
        <f t="shared" ref="F218:F220" si="24">E218*#REF!*1.16</f>
        <v>#REF!</v>
      </c>
      <c r="G218" s="29"/>
      <c r="H218" s="18" t="b">
        <v>0</v>
      </c>
      <c r="I218" s="25" t="s">
        <v>463</v>
      </c>
      <c r="J218" s="18" t="b">
        <v>0</v>
      </c>
      <c r="K218" s="24"/>
      <c r="L218" s="19" t="s">
        <v>317</v>
      </c>
      <c r="M218" s="24"/>
      <c r="N218" s="24"/>
    </row>
    <row r="219">
      <c r="A219" s="19"/>
      <c r="B219" s="19" t="s">
        <v>445</v>
      </c>
      <c r="C219" s="18"/>
      <c r="D219" s="19" t="s">
        <v>476</v>
      </c>
      <c r="E219" s="20">
        <v>180.0</v>
      </c>
      <c r="F219" s="21" t="str">
        <f t="shared" si="24"/>
        <v>#REF!</v>
      </c>
      <c r="G219" s="29"/>
      <c r="H219" s="19" t="b">
        <v>1</v>
      </c>
      <c r="I219" s="25" t="s">
        <v>198</v>
      </c>
      <c r="J219" s="18" t="b">
        <v>0</v>
      </c>
      <c r="K219" s="24"/>
      <c r="L219" s="19" t="s">
        <v>317</v>
      </c>
      <c r="M219" s="24"/>
      <c r="N219" s="24"/>
    </row>
    <row r="220">
      <c r="A220" s="19"/>
      <c r="B220" s="19" t="s">
        <v>445</v>
      </c>
      <c r="C220" s="19"/>
      <c r="D220" s="19" t="s">
        <v>477</v>
      </c>
      <c r="E220" s="20">
        <v>180.0</v>
      </c>
      <c r="F220" s="21" t="str">
        <f t="shared" si="24"/>
        <v>#REF!</v>
      </c>
      <c r="G220" s="29"/>
      <c r="H220" s="18" t="b">
        <v>0</v>
      </c>
      <c r="I220" s="23"/>
      <c r="J220" s="18" t="b">
        <v>0</v>
      </c>
      <c r="K220" s="24"/>
      <c r="L220" s="19" t="s">
        <v>317</v>
      </c>
      <c r="M220" s="24"/>
      <c r="N220" s="24"/>
    </row>
    <row r="221">
      <c r="A221" s="12"/>
      <c r="B221" s="13" t="s">
        <v>445</v>
      </c>
      <c r="C221" s="12"/>
      <c r="D221" s="13" t="s">
        <v>478</v>
      </c>
      <c r="E221" s="14">
        <v>180.0</v>
      </c>
      <c r="F221" s="15"/>
      <c r="G221" s="26"/>
      <c r="H221" s="12" t="b">
        <v>0</v>
      </c>
      <c r="I221" s="17" t="s">
        <v>479</v>
      </c>
      <c r="J221" s="12" t="b">
        <v>0</v>
      </c>
    </row>
    <row r="222">
      <c r="A222" s="19"/>
      <c r="B222" s="19" t="s">
        <v>445</v>
      </c>
      <c r="C222" s="18"/>
      <c r="D222" s="19" t="s">
        <v>480</v>
      </c>
      <c r="E222" s="20">
        <v>180.0</v>
      </c>
      <c r="F222" s="21">
        <f>E222*K220*1.16</f>
        <v>0</v>
      </c>
      <c r="G222" s="29"/>
      <c r="H222" s="19" t="b">
        <v>1</v>
      </c>
      <c r="I222" s="72" t="s">
        <v>198</v>
      </c>
      <c r="J222" s="18" t="b">
        <v>0</v>
      </c>
      <c r="K222" s="24"/>
      <c r="L222" s="19" t="s">
        <v>317</v>
      </c>
      <c r="M222" s="24"/>
      <c r="N222" s="24"/>
    </row>
    <row r="223">
      <c r="A223" s="19" t="s">
        <v>45</v>
      </c>
      <c r="B223" s="19" t="s">
        <v>445</v>
      </c>
      <c r="C223" s="19"/>
      <c r="D223" s="71" t="s">
        <v>481</v>
      </c>
      <c r="E223" s="20">
        <v>185.0</v>
      </c>
      <c r="F223" s="21" t="str">
        <f>E223*#REF!*1.16</f>
        <v>#REF!</v>
      </c>
      <c r="G223" s="29"/>
      <c r="H223" s="19" t="b">
        <v>1</v>
      </c>
      <c r="I223" s="25" t="s">
        <v>22</v>
      </c>
      <c r="J223" s="18" t="b">
        <v>0</v>
      </c>
      <c r="K223" s="24"/>
      <c r="L223" s="19" t="s">
        <v>317</v>
      </c>
      <c r="M223" s="24"/>
      <c r="N223" s="24"/>
    </row>
    <row r="224">
      <c r="A224" s="19"/>
      <c r="B224" s="19" t="s">
        <v>445</v>
      </c>
      <c r="C224" s="19"/>
      <c r="D224" s="19" t="s">
        <v>482</v>
      </c>
      <c r="E224" s="20">
        <v>200.0</v>
      </c>
      <c r="F224" s="21">
        <f>E224*K221*1.16</f>
        <v>0</v>
      </c>
      <c r="G224" s="29"/>
      <c r="H224" s="18" t="b">
        <v>0</v>
      </c>
      <c r="I224" s="23"/>
      <c r="J224" s="18" t="b">
        <v>0</v>
      </c>
      <c r="K224" s="24"/>
      <c r="L224" s="19" t="s">
        <v>317</v>
      </c>
      <c r="M224" s="24"/>
      <c r="N224" s="24"/>
    </row>
    <row r="225">
      <c r="A225" s="12"/>
      <c r="B225" s="13" t="s">
        <v>445</v>
      </c>
      <c r="C225" s="12"/>
      <c r="D225" s="71" t="s">
        <v>483</v>
      </c>
      <c r="E225" s="14">
        <v>200.0</v>
      </c>
      <c r="F225" s="15"/>
      <c r="G225" s="26"/>
      <c r="H225" s="13" t="b">
        <v>1</v>
      </c>
      <c r="I225" s="17" t="s">
        <v>484</v>
      </c>
      <c r="J225" s="12" t="b">
        <v>0</v>
      </c>
    </row>
    <row r="226">
      <c r="A226" s="12"/>
      <c r="B226" s="13" t="s">
        <v>445</v>
      </c>
      <c r="C226" s="12"/>
      <c r="D226" s="13" t="s">
        <v>485</v>
      </c>
      <c r="E226" s="14">
        <v>200.0</v>
      </c>
      <c r="F226" s="15"/>
      <c r="G226" s="26"/>
      <c r="H226" s="12" t="b">
        <v>0</v>
      </c>
      <c r="I226" s="17" t="s">
        <v>486</v>
      </c>
      <c r="J226" s="12" t="b">
        <v>0</v>
      </c>
    </row>
    <row r="227">
      <c r="A227" s="19"/>
      <c r="B227" s="19" t="s">
        <v>445</v>
      </c>
      <c r="C227" s="19"/>
      <c r="D227" s="19" t="s">
        <v>487</v>
      </c>
      <c r="E227" s="20">
        <v>200.0</v>
      </c>
      <c r="F227" s="21">
        <f>E227*K225*1.16</f>
        <v>0</v>
      </c>
      <c r="G227" s="29"/>
      <c r="H227" s="18" t="b">
        <v>0</v>
      </c>
      <c r="I227" s="23"/>
      <c r="J227" s="18" t="b">
        <v>0</v>
      </c>
      <c r="K227" s="24"/>
      <c r="L227" s="19" t="s">
        <v>317</v>
      </c>
      <c r="M227" s="24"/>
      <c r="N227" s="24"/>
    </row>
    <row r="228">
      <c r="A228" s="19"/>
      <c r="B228" s="19" t="s">
        <v>445</v>
      </c>
      <c r="C228" s="18"/>
      <c r="D228" s="19" t="s">
        <v>488</v>
      </c>
      <c r="E228" s="20">
        <v>200.0</v>
      </c>
      <c r="F228" s="21"/>
      <c r="G228" s="29"/>
      <c r="H228" s="19" t="b">
        <v>1</v>
      </c>
      <c r="I228" s="23"/>
      <c r="J228" s="18" t="b">
        <v>0</v>
      </c>
      <c r="K228" s="24"/>
      <c r="L228" s="19" t="s">
        <v>317</v>
      </c>
      <c r="M228" s="24"/>
      <c r="N228" s="24"/>
    </row>
    <row r="229">
      <c r="A229" s="12"/>
      <c r="B229" s="13" t="s">
        <v>445</v>
      </c>
      <c r="C229" s="12"/>
      <c r="D229" s="13" t="s">
        <v>489</v>
      </c>
      <c r="E229" s="14">
        <v>200.0</v>
      </c>
      <c r="F229" s="15"/>
      <c r="G229" s="26"/>
      <c r="H229" s="12" t="b">
        <v>0</v>
      </c>
      <c r="I229" s="17" t="s">
        <v>490</v>
      </c>
      <c r="J229" s="12" t="b">
        <v>0</v>
      </c>
    </row>
    <row r="230">
      <c r="A230" s="19"/>
      <c r="B230" s="19" t="s">
        <v>445</v>
      </c>
      <c r="C230" s="18"/>
      <c r="D230" s="19" t="s">
        <v>491</v>
      </c>
      <c r="E230" s="20">
        <v>200.0</v>
      </c>
      <c r="F230" s="21"/>
      <c r="G230" s="29"/>
      <c r="H230" s="19" t="b">
        <v>1</v>
      </c>
      <c r="I230" s="23"/>
      <c r="J230" s="18" t="b">
        <v>0</v>
      </c>
      <c r="K230" s="24"/>
      <c r="L230" s="19" t="s">
        <v>317</v>
      </c>
      <c r="M230" s="24"/>
      <c r="N230" s="24"/>
    </row>
    <row r="231">
      <c r="A231" s="18"/>
      <c r="B231" s="19" t="s">
        <v>445</v>
      </c>
      <c r="C231" s="18"/>
      <c r="D231" s="19" t="s">
        <v>492</v>
      </c>
      <c r="E231" s="20">
        <v>200.0</v>
      </c>
      <c r="F231" s="21">
        <f>E231*K228*1.16</f>
        <v>0</v>
      </c>
      <c r="G231" s="29"/>
      <c r="H231" s="18" t="b">
        <v>0</v>
      </c>
      <c r="I231" s="72" t="s">
        <v>198</v>
      </c>
      <c r="J231" s="18" t="b">
        <v>0</v>
      </c>
      <c r="K231" s="24"/>
      <c r="L231" s="19" t="s">
        <v>317</v>
      </c>
      <c r="M231" s="24"/>
      <c r="N231" s="24"/>
    </row>
    <row r="232">
      <c r="A232" s="19"/>
      <c r="B232" s="19" t="s">
        <v>445</v>
      </c>
      <c r="C232" s="19"/>
      <c r="D232" s="19" t="s">
        <v>493</v>
      </c>
      <c r="E232" s="20">
        <v>210.0</v>
      </c>
      <c r="F232" s="21">
        <f t="shared" ref="F232:F233" si="25">E232*K230*1.16</f>
        <v>0</v>
      </c>
      <c r="G232" s="29"/>
      <c r="H232" s="18" t="b">
        <v>0</v>
      </c>
      <c r="I232" s="23"/>
      <c r="J232" s="18" t="b">
        <v>0</v>
      </c>
      <c r="K232" s="24"/>
      <c r="L232" s="19" t="s">
        <v>317</v>
      </c>
      <c r="M232" s="24"/>
      <c r="N232" s="24"/>
    </row>
    <row r="233">
      <c r="A233" s="19"/>
      <c r="B233" s="19" t="s">
        <v>445</v>
      </c>
      <c r="C233" s="73"/>
      <c r="D233" s="73" t="s">
        <v>494</v>
      </c>
      <c r="E233" s="20">
        <v>220.0</v>
      </c>
      <c r="F233" s="21">
        <f t="shared" si="25"/>
        <v>0</v>
      </c>
      <c r="G233" s="29"/>
      <c r="H233" s="19" t="b">
        <v>1</v>
      </c>
      <c r="I233" s="23"/>
      <c r="J233" s="18" t="b">
        <v>0</v>
      </c>
      <c r="K233" s="24"/>
      <c r="L233" s="19" t="s">
        <v>317</v>
      </c>
      <c r="M233" s="24"/>
      <c r="N233" s="24"/>
    </row>
    <row r="234">
      <c r="A234" s="19"/>
      <c r="B234" s="19" t="s">
        <v>445</v>
      </c>
      <c r="C234" s="18"/>
      <c r="D234" s="19" t="s">
        <v>495</v>
      </c>
      <c r="E234" s="20">
        <v>220.0</v>
      </c>
      <c r="F234" s="21" t="str">
        <f>E234*#REF!*1.16</f>
        <v>#REF!</v>
      </c>
      <c r="G234" s="29"/>
      <c r="H234" s="19" t="b">
        <v>1</v>
      </c>
      <c r="I234" s="25" t="s">
        <v>198</v>
      </c>
      <c r="J234" s="18" t="b">
        <v>0</v>
      </c>
      <c r="K234" s="24"/>
      <c r="L234" s="19" t="s">
        <v>317</v>
      </c>
      <c r="M234" s="24"/>
      <c r="N234" s="24"/>
    </row>
    <row r="235">
      <c r="A235" s="19"/>
      <c r="B235" s="19" t="s">
        <v>445</v>
      </c>
      <c r="C235" s="19"/>
      <c r="D235" s="19" t="s">
        <v>496</v>
      </c>
      <c r="E235" s="20">
        <v>220.0</v>
      </c>
      <c r="F235" s="21">
        <f>E235*K231*1.16</f>
        <v>0</v>
      </c>
      <c r="G235" s="29"/>
      <c r="H235" s="18" t="b">
        <v>0</v>
      </c>
      <c r="I235" s="23"/>
      <c r="J235" s="18" t="b">
        <v>0</v>
      </c>
      <c r="K235" s="24"/>
      <c r="L235" s="19" t="s">
        <v>317</v>
      </c>
      <c r="M235" s="24"/>
      <c r="N235" s="24"/>
    </row>
    <row r="236">
      <c r="A236" s="18"/>
      <c r="B236" s="19" t="s">
        <v>445</v>
      </c>
      <c r="C236" s="18"/>
      <c r="D236" s="19" t="s">
        <v>497</v>
      </c>
      <c r="E236" s="20">
        <v>220.0</v>
      </c>
      <c r="F236" s="21" t="str">
        <f>E236*#REF!*1.16</f>
        <v>#REF!</v>
      </c>
      <c r="G236" s="29"/>
      <c r="H236" s="18" t="b">
        <v>0</v>
      </c>
      <c r="I236" s="23"/>
      <c r="J236" s="18" t="b">
        <v>0</v>
      </c>
      <c r="K236" s="24"/>
      <c r="L236" s="24"/>
      <c r="M236" s="24"/>
      <c r="N236" s="24"/>
    </row>
    <row r="237">
      <c r="A237" s="19"/>
      <c r="B237" s="19" t="s">
        <v>445</v>
      </c>
      <c r="C237" s="18"/>
      <c r="D237" s="19" t="s">
        <v>498</v>
      </c>
      <c r="E237" s="20">
        <v>220.0</v>
      </c>
      <c r="F237" s="21">
        <f>E237*K235*1.16</f>
        <v>0</v>
      </c>
      <c r="G237" s="29"/>
      <c r="H237" s="19" t="b">
        <v>1</v>
      </c>
      <c r="I237" s="25" t="s">
        <v>198</v>
      </c>
      <c r="J237" s="18" t="b">
        <v>0</v>
      </c>
      <c r="K237" s="24"/>
      <c r="L237" s="19" t="s">
        <v>317</v>
      </c>
      <c r="M237" s="24"/>
      <c r="N237" s="24"/>
    </row>
    <row r="238">
      <c r="A238" s="19"/>
      <c r="B238" s="19" t="s">
        <v>445</v>
      </c>
      <c r="C238" s="73"/>
      <c r="D238" s="74" t="s">
        <v>499</v>
      </c>
      <c r="E238" s="20">
        <v>230.0</v>
      </c>
      <c r="F238" s="21">
        <f>E238*K233*1.16</f>
        <v>0</v>
      </c>
      <c r="G238" s="22" t="s">
        <v>15</v>
      </c>
      <c r="H238" s="19" t="b">
        <v>1</v>
      </c>
      <c r="I238" s="23"/>
      <c r="J238" s="18" t="b">
        <v>0</v>
      </c>
      <c r="K238" s="24"/>
      <c r="L238" s="19" t="s">
        <v>317</v>
      </c>
      <c r="M238" s="24"/>
      <c r="N238" s="24"/>
    </row>
    <row r="239">
      <c r="A239" s="12"/>
      <c r="B239" s="71" t="s">
        <v>445</v>
      </c>
      <c r="C239" s="75"/>
      <c r="D239" s="71" t="s">
        <v>500</v>
      </c>
      <c r="E239" s="14">
        <v>237.0</v>
      </c>
      <c r="F239" s="15"/>
      <c r="G239" s="16" t="s">
        <v>15</v>
      </c>
      <c r="H239" s="13" t="b">
        <v>1</v>
      </c>
      <c r="I239" s="17" t="s">
        <v>501</v>
      </c>
      <c r="J239" s="12" t="b">
        <v>0</v>
      </c>
    </row>
    <row r="240">
      <c r="A240" s="19"/>
      <c r="B240" s="19" t="s">
        <v>445</v>
      </c>
      <c r="C240" s="73"/>
      <c r="D240" s="74" t="s">
        <v>502</v>
      </c>
      <c r="E240" s="20">
        <v>240.0</v>
      </c>
      <c r="F240" s="21" t="str">
        <f>E240*#REF!*1.16</f>
        <v>#REF!</v>
      </c>
      <c r="G240" s="22" t="s">
        <v>15</v>
      </c>
      <c r="H240" s="19" t="b">
        <v>1</v>
      </c>
      <c r="I240" s="23"/>
      <c r="J240" s="18" t="b">
        <v>0</v>
      </c>
      <c r="K240" s="24"/>
      <c r="L240" s="19" t="s">
        <v>317</v>
      </c>
      <c r="M240" s="24"/>
      <c r="N240" s="24"/>
    </row>
    <row r="241">
      <c r="A241" s="19"/>
      <c r="B241" s="19" t="s">
        <v>445</v>
      </c>
      <c r="C241" s="73"/>
      <c r="D241" s="74" t="s">
        <v>503</v>
      </c>
      <c r="E241" s="20">
        <v>240.0</v>
      </c>
      <c r="F241" s="21">
        <f>E241*K239*1.16</f>
        <v>0</v>
      </c>
      <c r="G241" s="22" t="s">
        <v>15</v>
      </c>
      <c r="H241" s="19" t="b">
        <v>1</v>
      </c>
      <c r="I241" s="23"/>
      <c r="J241" s="18" t="b">
        <v>0</v>
      </c>
      <c r="K241" s="24"/>
      <c r="L241" s="19" t="s">
        <v>317</v>
      </c>
      <c r="M241" s="24"/>
      <c r="N241" s="24"/>
    </row>
    <row r="242">
      <c r="A242" s="13" t="s">
        <v>45</v>
      </c>
      <c r="B242" s="13" t="s">
        <v>445</v>
      </c>
      <c r="C242" s="12"/>
      <c r="D242" s="71" t="s">
        <v>504</v>
      </c>
      <c r="E242" s="14">
        <v>250.0</v>
      </c>
      <c r="F242" s="15"/>
      <c r="G242" s="26"/>
      <c r="H242" s="12" t="b">
        <v>0</v>
      </c>
      <c r="I242" s="28"/>
      <c r="J242" s="12" t="b">
        <v>0</v>
      </c>
    </row>
    <row r="243">
      <c r="A243" s="12"/>
      <c r="B243" s="13" t="s">
        <v>445</v>
      </c>
      <c r="C243" s="12"/>
      <c r="D243" s="13" t="s">
        <v>505</v>
      </c>
      <c r="E243" s="14">
        <v>250.0</v>
      </c>
      <c r="F243" s="15"/>
      <c r="G243" s="16" t="s">
        <v>466</v>
      </c>
      <c r="H243" s="12" t="b">
        <v>0</v>
      </c>
      <c r="I243" s="17" t="s">
        <v>506</v>
      </c>
      <c r="J243" s="12" t="b">
        <v>0</v>
      </c>
    </row>
    <row r="244">
      <c r="A244" s="19"/>
      <c r="B244" s="19" t="s">
        <v>445</v>
      </c>
      <c r="C244" s="18"/>
      <c r="D244" s="70" t="s">
        <v>507</v>
      </c>
      <c r="E244" s="20">
        <v>270.0</v>
      </c>
      <c r="F244" s="21" t="str">
        <f>E244*#REF!*1.16</f>
        <v>#REF!</v>
      </c>
      <c r="G244" s="29"/>
      <c r="H244" s="19" t="b">
        <v>1</v>
      </c>
      <c r="I244" s="25" t="s">
        <v>508</v>
      </c>
      <c r="J244" s="18" t="b">
        <v>0</v>
      </c>
      <c r="K244" s="24"/>
      <c r="L244" s="19" t="s">
        <v>317</v>
      </c>
      <c r="M244" s="24"/>
      <c r="N244" s="24"/>
    </row>
    <row r="245">
      <c r="A245" s="12"/>
      <c r="B245" s="13" t="s">
        <v>445</v>
      </c>
      <c r="C245" s="12"/>
      <c r="D245" s="13" t="s">
        <v>509</v>
      </c>
      <c r="E245" s="14">
        <v>275.0</v>
      </c>
      <c r="F245" s="15"/>
      <c r="G245" s="26"/>
      <c r="H245" s="12" t="b">
        <v>0</v>
      </c>
      <c r="I245" s="17" t="s">
        <v>510</v>
      </c>
      <c r="J245" s="12" t="b">
        <v>0</v>
      </c>
    </row>
    <row r="246">
      <c r="A246" s="19"/>
      <c r="B246" s="19" t="s">
        <v>445</v>
      </c>
      <c r="C246" s="18"/>
      <c r="D246" s="19" t="s">
        <v>511</v>
      </c>
      <c r="E246" s="20">
        <v>300.0</v>
      </c>
      <c r="F246" s="21"/>
      <c r="G246" s="29"/>
      <c r="H246" s="19" t="b">
        <v>1</v>
      </c>
      <c r="I246" s="23"/>
      <c r="J246" s="18" t="b">
        <v>0</v>
      </c>
      <c r="K246" s="24"/>
      <c r="L246" s="19" t="s">
        <v>317</v>
      </c>
      <c r="M246" s="24"/>
      <c r="N246" s="24"/>
    </row>
    <row r="247">
      <c r="A247" s="12"/>
      <c r="B247" s="71" t="s">
        <v>445</v>
      </c>
      <c r="C247" s="75"/>
      <c r="D247" s="71" t="s">
        <v>512</v>
      </c>
      <c r="E247" s="14">
        <v>305.0</v>
      </c>
      <c r="F247" s="15"/>
      <c r="G247" s="16" t="s">
        <v>15</v>
      </c>
      <c r="H247" s="13" t="b">
        <v>1</v>
      </c>
      <c r="I247" s="17" t="s">
        <v>513</v>
      </c>
      <c r="J247" s="12" t="b">
        <v>0</v>
      </c>
    </row>
    <row r="248">
      <c r="A248" s="19"/>
      <c r="B248" s="19" t="s">
        <v>445</v>
      </c>
      <c r="C248" s="18"/>
      <c r="D248" s="19" t="s">
        <v>514</v>
      </c>
      <c r="E248" s="20">
        <v>330.0</v>
      </c>
      <c r="F248" s="21"/>
      <c r="G248" s="29"/>
      <c r="H248" s="19" t="b">
        <v>1</v>
      </c>
      <c r="I248" s="23"/>
      <c r="J248" s="18" t="b">
        <v>0</v>
      </c>
      <c r="K248" s="24"/>
      <c r="L248" s="19" t="s">
        <v>317</v>
      </c>
      <c r="M248" s="24"/>
      <c r="N248" s="24"/>
    </row>
    <row r="249">
      <c r="A249" s="19"/>
      <c r="B249" s="19" t="s">
        <v>445</v>
      </c>
      <c r="C249" s="18"/>
      <c r="D249" s="70" t="s">
        <v>515</v>
      </c>
      <c r="E249" s="20">
        <v>330.0</v>
      </c>
      <c r="F249" s="21" t="str">
        <f t="shared" ref="F249:F250" si="26">E249*#REF!*1.16</f>
        <v>#REF!</v>
      </c>
      <c r="G249" s="29"/>
      <c r="H249" s="18" t="b">
        <v>0</v>
      </c>
      <c r="I249" s="25" t="s">
        <v>516</v>
      </c>
      <c r="J249" s="18" t="b">
        <v>0</v>
      </c>
      <c r="K249" s="18"/>
      <c r="L249" s="19" t="s">
        <v>317</v>
      </c>
      <c r="M249" s="18"/>
      <c r="N249" s="24"/>
    </row>
    <row r="250">
      <c r="A250" s="19"/>
      <c r="B250" s="19" t="s">
        <v>445</v>
      </c>
      <c r="C250" s="18"/>
      <c r="D250" s="70" t="s">
        <v>517</v>
      </c>
      <c r="E250" s="20">
        <v>330.0</v>
      </c>
      <c r="F250" s="21" t="str">
        <f t="shared" si="26"/>
        <v>#REF!</v>
      </c>
      <c r="G250" s="22" t="s">
        <v>15</v>
      </c>
      <c r="H250" s="18" t="b">
        <v>0</v>
      </c>
      <c r="I250" s="25" t="s">
        <v>518</v>
      </c>
      <c r="J250" s="18" t="b">
        <v>0</v>
      </c>
      <c r="K250" s="18"/>
      <c r="L250" s="19" t="s">
        <v>317</v>
      </c>
      <c r="M250" s="18"/>
      <c r="N250" s="24"/>
    </row>
    <row r="251">
      <c r="A251" s="19"/>
      <c r="B251" s="19" t="s">
        <v>445</v>
      </c>
      <c r="C251" s="18"/>
      <c r="D251" s="19" t="s">
        <v>519</v>
      </c>
      <c r="E251" s="20">
        <v>330.0</v>
      </c>
      <c r="F251" s="21"/>
      <c r="G251" s="29"/>
      <c r="H251" s="19" t="b">
        <v>1</v>
      </c>
      <c r="I251" s="23"/>
      <c r="J251" s="18" t="b">
        <v>0</v>
      </c>
      <c r="K251" s="24"/>
      <c r="L251" s="19" t="s">
        <v>317</v>
      </c>
      <c r="M251" s="24"/>
      <c r="N251" s="24"/>
    </row>
    <row r="252">
      <c r="A252" s="18"/>
      <c r="B252" s="19" t="s">
        <v>445</v>
      </c>
      <c r="C252" s="18"/>
      <c r="D252" s="19" t="s">
        <v>520</v>
      </c>
      <c r="E252" s="20">
        <v>350.0</v>
      </c>
      <c r="F252" s="21"/>
      <c r="G252" s="29"/>
      <c r="H252" s="19" t="b">
        <v>1</v>
      </c>
      <c r="I252" s="23"/>
      <c r="J252" s="18" t="b">
        <v>0</v>
      </c>
      <c r="K252" s="24"/>
      <c r="L252" s="19" t="s">
        <v>317</v>
      </c>
      <c r="M252" s="24"/>
      <c r="N252" s="24"/>
    </row>
    <row r="253">
      <c r="A253" s="12"/>
      <c r="B253" s="13" t="s">
        <v>445</v>
      </c>
      <c r="C253" s="12"/>
      <c r="D253" s="13" t="s">
        <v>521</v>
      </c>
      <c r="E253" s="14">
        <v>350.0</v>
      </c>
      <c r="F253" s="15"/>
      <c r="G253" s="26"/>
      <c r="H253" s="12" t="b">
        <v>0</v>
      </c>
      <c r="I253" s="28"/>
      <c r="J253" s="12" t="b">
        <v>0</v>
      </c>
    </row>
    <row r="254">
      <c r="A254" s="18"/>
      <c r="B254" s="19" t="s">
        <v>445</v>
      </c>
      <c r="C254" s="18"/>
      <c r="D254" s="19" t="s">
        <v>522</v>
      </c>
      <c r="E254" s="20">
        <v>350.0</v>
      </c>
      <c r="F254" s="21"/>
      <c r="G254" s="29"/>
      <c r="H254" s="19" t="b">
        <v>1</v>
      </c>
      <c r="I254" s="23"/>
      <c r="J254" s="18" t="b">
        <v>0</v>
      </c>
      <c r="K254" s="24"/>
      <c r="L254" s="19" t="s">
        <v>317</v>
      </c>
      <c r="M254" s="24"/>
      <c r="N254" s="24"/>
    </row>
    <row r="255">
      <c r="A255" s="19"/>
      <c r="B255" s="19" t="s">
        <v>445</v>
      </c>
      <c r="C255" s="18"/>
      <c r="D255" s="19" t="s">
        <v>523</v>
      </c>
      <c r="E255" s="20">
        <v>400.0</v>
      </c>
      <c r="F255" s="21" t="str">
        <f>E255*#REF!*1.16</f>
        <v>#REF!</v>
      </c>
      <c r="G255" s="29"/>
      <c r="H255" s="19" t="b">
        <v>1</v>
      </c>
      <c r="I255" s="76" t="s">
        <v>516</v>
      </c>
      <c r="J255" s="18" t="b">
        <v>0</v>
      </c>
      <c r="K255" s="18"/>
      <c r="L255" s="19" t="s">
        <v>317</v>
      </c>
      <c r="M255" s="18"/>
      <c r="N255" s="24"/>
    </row>
    <row r="256">
      <c r="A256" s="19"/>
      <c r="B256" s="19" t="s">
        <v>445</v>
      </c>
      <c r="C256" s="18"/>
      <c r="D256" s="70" t="s">
        <v>524</v>
      </c>
      <c r="E256" s="20">
        <v>400.0</v>
      </c>
      <c r="F256" s="21">
        <f>E256*K255*1.16</f>
        <v>0</v>
      </c>
      <c r="G256" s="29"/>
      <c r="H256" s="18" t="b">
        <v>0</v>
      </c>
      <c r="I256" s="25" t="s">
        <v>474</v>
      </c>
      <c r="J256" s="18" t="b">
        <v>0</v>
      </c>
      <c r="K256" s="18"/>
      <c r="L256" s="19" t="s">
        <v>317</v>
      </c>
      <c r="M256" s="18"/>
      <c r="N256" s="24"/>
    </row>
    <row r="257">
      <c r="A257" s="12"/>
      <c r="B257" s="13" t="s">
        <v>445</v>
      </c>
      <c r="C257" s="12"/>
      <c r="D257" s="13" t="s">
        <v>525</v>
      </c>
      <c r="E257" s="14">
        <v>400.0</v>
      </c>
      <c r="F257" s="15"/>
      <c r="G257" s="26"/>
      <c r="H257" s="12" t="b">
        <v>0</v>
      </c>
      <c r="I257" s="17" t="s">
        <v>526</v>
      </c>
      <c r="J257" s="12" t="b">
        <v>0</v>
      </c>
    </row>
    <row r="258">
      <c r="A258" s="19"/>
      <c r="B258" s="19" t="s">
        <v>445</v>
      </c>
      <c r="C258" s="19"/>
      <c r="D258" s="19" t="s">
        <v>527</v>
      </c>
      <c r="E258" s="20">
        <v>400.0</v>
      </c>
      <c r="F258" s="21">
        <f>E258*K253*1.16</f>
        <v>0</v>
      </c>
      <c r="G258" s="29"/>
      <c r="H258" s="19" t="b">
        <v>1</v>
      </c>
      <c r="I258" s="25" t="s">
        <v>22</v>
      </c>
      <c r="J258" s="18" t="b">
        <v>0</v>
      </c>
      <c r="K258" s="18"/>
      <c r="L258" s="19" t="s">
        <v>317</v>
      </c>
      <c r="M258" s="18"/>
      <c r="N258" s="24"/>
    </row>
    <row r="259">
      <c r="A259" s="19"/>
      <c r="B259" s="19" t="s">
        <v>445</v>
      </c>
      <c r="C259" s="18"/>
      <c r="D259" s="70" t="s">
        <v>528</v>
      </c>
      <c r="E259" s="20">
        <v>450.0</v>
      </c>
      <c r="F259" s="21">
        <f>E259*K256*1.16</f>
        <v>0</v>
      </c>
      <c r="G259" s="29"/>
      <c r="H259" s="18" t="b">
        <v>0</v>
      </c>
      <c r="I259" s="25" t="s">
        <v>474</v>
      </c>
      <c r="J259" s="18" t="b">
        <v>0</v>
      </c>
      <c r="K259" s="18"/>
      <c r="L259" s="19" t="s">
        <v>317</v>
      </c>
      <c r="M259" s="18"/>
      <c r="N259" s="24"/>
    </row>
    <row r="260">
      <c r="A260" s="18"/>
      <c r="B260" s="19" t="s">
        <v>445</v>
      </c>
      <c r="C260" s="18"/>
      <c r="D260" s="19" t="s">
        <v>529</v>
      </c>
      <c r="E260" s="20">
        <v>499.0</v>
      </c>
      <c r="F260" s="21">
        <f>E260*K258*1.16</f>
        <v>0</v>
      </c>
      <c r="G260" s="29"/>
      <c r="H260" s="18" t="b">
        <v>0</v>
      </c>
      <c r="I260" s="23"/>
      <c r="J260" s="18" t="b">
        <v>0</v>
      </c>
      <c r="K260" s="18"/>
      <c r="L260" s="19" t="s">
        <v>317</v>
      </c>
      <c r="M260" s="18"/>
      <c r="N260" s="24"/>
    </row>
    <row r="261">
      <c r="A261" s="12"/>
      <c r="B261" s="13" t="s">
        <v>445</v>
      </c>
      <c r="C261" s="12"/>
      <c r="D261" s="13" t="s">
        <v>530</v>
      </c>
      <c r="E261" s="14">
        <v>500.0</v>
      </c>
      <c r="F261" s="15"/>
      <c r="G261" s="16" t="s">
        <v>15</v>
      </c>
      <c r="H261" s="13" t="b">
        <v>1</v>
      </c>
      <c r="I261" s="17" t="s">
        <v>531</v>
      </c>
      <c r="J261" s="12" t="b">
        <v>0</v>
      </c>
    </row>
    <row r="262">
      <c r="A262" s="19"/>
      <c r="B262" s="19" t="s">
        <v>445</v>
      </c>
      <c r="C262" s="18"/>
      <c r="D262" s="19" t="s">
        <v>532</v>
      </c>
      <c r="E262" s="20">
        <v>500.0</v>
      </c>
      <c r="F262" s="21"/>
      <c r="G262" s="29"/>
      <c r="H262" s="19" t="b">
        <v>1</v>
      </c>
      <c r="I262" s="23"/>
      <c r="J262" s="18" t="b">
        <v>0</v>
      </c>
      <c r="K262" s="24"/>
      <c r="L262" s="19" t="s">
        <v>317</v>
      </c>
      <c r="M262" s="24"/>
      <c r="N262" s="24"/>
    </row>
    <row r="263">
      <c r="A263" s="18"/>
      <c r="B263" s="19" t="s">
        <v>445</v>
      </c>
      <c r="C263" s="18"/>
      <c r="D263" s="19" t="s">
        <v>533</v>
      </c>
      <c r="E263" s="20">
        <v>500.0</v>
      </c>
      <c r="F263" s="21"/>
      <c r="G263" s="29"/>
      <c r="H263" s="18" t="b">
        <v>0</v>
      </c>
      <c r="I263" s="76" t="s">
        <v>534</v>
      </c>
      <c r="J263" s="18" t="b">
        <v>0</v>
      </c>
      <c r="K263" s="24"/>
      <c r="L263" s="24"/>
      <c r="M263" s="24"/>
      <c r="N263" s="24"/>
    </row>
    <row r="264">
      <c r="A264" s="19"/>
      <c r="B264" s="19" t="s">
        <v>445</v>
      </c>
      <c r="C264" s="18"/>
      <c r="D264" s="19" t="s">
        <v>535</v>
      </c>
      <c r="E264" s="20">
        <v>600.0</v>
      </c>
      <c r="F264" s="21"/>
      <c r="G264" s="29"/>
      <c r="H264" s="19" t="b">
        <v>1</v>
      </c>
      <c r="I264" s="23"/>
      <c r="J264" s="18" t="b">
        <v>0</v>
      </c>
      <c r="K264" s="24"/>
      <c r="L264" s="19" t="s">
        <v>317</v>
      </c>
      <c r="M264" s="24"/>
      <c r="N264" s="24"/>
    </row>
    <row r="265">
      <c r="A265" s="19"/>
      <c r="B265" s="19" t="s">
        <v>445</v>
      </c>
      <c r="C265" s="18"/>
      <c r="D265" s="19" t="s">
        <v>536</v>
      </c>
      <c r="E265" s="20">
        <v>600.0</v>
      </c>
      <c r="F265" s="21" t="str">
        <f>E265*#REF!*1.16</f>
        <v>#REF!</v>
      </c>
      <c r="G265" s="29"/>
      <c r="H265" s="19" t="b">
        <v>1</v>
      </c>
      <c r="I265" s="23"/>
      <c r="J265" s="18" t="b">
        <v>0</v>
      </c>
      <c r="K265" s="24"/>
      <c r="L265" s="19" t="s">
        <v>317</v>
      </c>
      <c r="M265" s="24"/>
      <c r="N265" s="24"/>
    </row>
    <row r="266">
      <c r="A266" s="19"/>
      <c r="B266" s="19" t="s">
        <v>445</v>
      </c>
      <c r="C266" s="18"/>
      <c r="D266" s="19" t="s">
        <v>537</v>
      </c>
      <c r="E266" s="20">
        <v>600.0</v>
      </c>
      <c r="F266" s="21"/>
      <c r="G266" s="29"/>
      <c r="H266" s="19" t="b">
        <v>1</v>
      </c>
      <c r="I266" s="23"/>
      <c r="J266" s="18" t="b">
        <v>0</v>
      </c>
      <c r="K266" s="24"/>
      <c r="L266" s="19" t="s">
        <v>317</v>
      </c>
      <c r="M266" s="24"/>
      <c r="N266" s="24"/>
    </row>
    <row r="267">
      <c r="A267" s="18"/>
      <c r="B267" s="19" t="s">
        <v>445</v>
      </c>
      <c r="C267" s="18"/>
      <c r="D267" s="19" t="s">
        <v>538</v>
      </c>
      <c r="E267" s="20">
        <v>650.0</v>
      </c>
      <c r="F267" s="21">
        <f>E267*K262*1.16</f>
        <v>0</v>
      </c>
      <c r="G267" s="29"/>
      <c r="H267" s="19" t="b">
        <v>1</v>
      </c>
      <c r="I267" s="23"/>
      <c r="J267" s="18" t="b">
        <v>0</v>
      </c>
      <c r="K267" s="18"/>
      <c r="L267" s="19" t="s">
        <v>317</v>
      </c>
      <c r="M267" s="18"/>
      <c r="N267" s="24"/>
    </row>
    <row r="268">
      <c r="A268" s="12"/>
      <c r="B268" s="13" t="s">
        <v>445</v>
      </c>
      <c r="C268" s="12"/>
      <c r="D268" s="13" t="s">
        <v>539</v>
      </c>
      <c r="E268" s="14">
        <v>677.0</v>
      </c>
      <c r="F268" s="15"/>
      <c r="G268" s="16"/>
      <c r="H268" s="13" t="b">
        <v>1</v>
      </c>
      <c r="I268" s="17" t="s">
        <v>540</v>
      </c>
      <c r="J268" s="12" t="b">
        <v>0</v>
      </c>
    </row>
    <row r="269">
      <c r="A269" s="13" t="s">
        <v>45</v>
      </c>
      <c r="B269" s="13" t="s">
        <v>445</v>
      </c>
      <c r="C269" s="12"/>
      <c r="D269" s="13" t="s">
        <v>541</v>
      </c>
      <c r="E269" s="14">
        <v>700.0</v>
      </c>
      <c r="F269" s="15"/>
      <c r="G269" s="16" t="s">
        <v>542</v>
      </c>
      <c r="H269" s="13" t="b">
        <v>1</v>
      </c>
      <c r="I269" s="28"/>
      <c r="J269" s="12" t="b">
        <v>0</v>
      </c>
    </row>
    <row r="270">
      <c r="A270" s="19"/>
      <c r="B270" s="19" t="s">
        <v>445</v>
      </c>
      <c r="C270" s="18"/>
      <c r="D270" s="19" t="s">
        <v>543</v>
      </c>
      <c r="E270" s="20">
        <v>700.0</v>
      </c>
      <c r="F270" s="21">
        <f>E270*K269*1.16</f>
        <v>0</v>
      </c>
      <c r="G270" s="29"/>
      <c r="H270" s="19" t="b">
        <v>1</v>
      </c>
      <c r="I270" s="23"/>
      <c r="J270" s="18" t="b">
        <v>0</v>
      </c>
      <c r="K270" s="24"/>
      <c r="L270" s="19" t="s">
        <v>317</v>
      </c>
      <c r="M270" s="24"/>
      <c r="N270" s="24"/>
    </row>
    <row r="271">
      <c r="A271" s="19"/>
      <c r="B271" s="19" t="s">
        <v>445</v>
      </c>
      <c r="C271" s="18"/>
      <c r="D271" s="70" t="s">
        <v>544</v>
      </c>
      <c r="E271" s="20">
        <v>880.0</v>
      </c>
      <c r="F271" s="21">
        <f>E271*K267*1.16</f>
        <v>0</v>
      </c>
      <c r="G271" s="29"/>
      <c r="H271" s="18" t="b">
        <v>0</v>
      </c>
      <c r="I271" s="25" t="s">
        <v>508</v>
      </c>
      <c r="J271" s="18" t="b">
        <v>0</v>
      </c>
      <c r="K271" s="18"/>
      <c r="L271" s="19" t="s">
        <v>317</v>
      </c>
      <c r="M271" s="18"/>
      <c r="N271" s="24"/>
    </row>
    <row r="272">
      <c r="A272" s="19"/>
      <c r="B272" s="19" t="s">
        <v>445</v>
      </c>
      <c r="C272" s="18"/>
      <c r="D272" s="19" t="s">
        <v>545</v>
      </c>
      <c r="E272" s="20">
        <v>900.0</v>
      </c>
      <c r="F272" s="21" t="str">
        <f>E272*#REF!*1.16</f>
        <v>#REF!</v>
      </c>
      <c r="G272" s="29"/>
      <c r="H272" s="19" t="b">
        <v>1</v>
      </c>
      <c r="I272" s="23"/>
      <c r="J272" s="18" t="b">
        <v>0</v>
      </c>
      <c r="K272" s="24"/>
      <c r="L272" s="19" t="s">
        <v>317</v>
      </c>
      <c r="M272" s="24"/>
      <c r="N272" s="24"/>
    </row>
    <row r="273">
      <c r="A273" s="19"/>
      <c r="B273" s="19" t="s">
        <v>445</v>
      </c>
      <c r="C273" s="77"/>
      <c r="D273" s="77" t="s">
        <v>546</v>
      </c>
      <c r="E273" s="20">
        <v>1150.0</v>
      </c>
      <c r="F273" s="21">
        <f>E273*K269*1.16</f>
        <v>0</v>
      </c>
      <c r="G273" s="29"/>
      <c r="H273" s="19" t="b">
        <v>1</v>
      </c>
      <c r="I273" s="25" t="s">
        <v>547</v>
      </c>
      <c r="J273" s="18" t="b">
        <v>0</v>
      </c>
      <c r="K273" s="18"/>
      <c r="L273" s="19" t="s">
        <v>317</v>
      </c>
      <c r="M273" s="18"/>
      <c r="N273" s="24"/>
    </row>
    <row r="274">
      <c r="A274" s="12"/>
      <c r="B274" s="71" t="s">
        <v>445</v>
      </c>
      <c r="C274" s="75"/>
      <c r="D274" s="71" t="s">
        <v>548</v>
      </c>
      <c r="E274" s="14">
        <v>1400.0</v>
      </c>
      <c r="F274" s="15"/>
      <c r="G274" s="16" t="s">
        <v>549</v>
      </c>
      <c r="H274" s="13" t="b">
        <v>1</v>
      </c>
      <c r="I274" s="28"/>
      <c r="J274" s="12" t="b">
        <v>0</v>
      </c>
    </row>
    <row r="275">
      <c r="A275" s="19"/>
      <c r="B275" s="19" t="s">
        <v>445</v>
      </c>
      <c r="C275" s="18"/>
      <c r="D275" s="19" t="s">
        <v>550</v>
      </c>
      <c r="E275" s="20">
        <v>2500.0</v>
      </c>
      <c r="F275" s="21">
        <f>E275*K272*1.16</f>
        <v>0</v>
      </c>
      <c r="G275" s="29"/>
      <c r="H275" s="19" t="b">
        <v>1</v>
      </c>
      <c r="I275" s="23"/>
      <c r="J275" s="18" t="b">
        <v>0</v>
      </c>
      <c r="K275" s="18"/>
      <c r="L275" s="19" t="s">
        <v>317</v>
      </c>
      <c r="M275" s="18"/>
      <c r="N275" s="24"/>
    </row>
    <row r="276">
      <c r="A276" s="12"/>
      <c r="B276" s="13" t="s">
        <v>445</v>
      </c>
      <c r="C276" s="12"/>
      <c r="D276" s="71" t="s">
        <v>551</v>
      </c>
      <c r="E276" s="78"/>
      <c r="F276" s="15"/>
      <c r="G276" s="16" t="s">
        <v>466</v>
      </c>
      <c r="H276" s="12" t="b">
        <v>0</v>
      </c>
      <c r="I276" s="28"/>
      <c r="J276" s="12" t="b">
        <v>0</v>
      </c>
    </row>
    <row r="277">
      <c r="A277" s="12"/>
      <c r="B277" s="13" t="s">
        <v>445</v>
      </c>
      <c r="C277" s="12"/>
      <c r="D277" s="71" t="s">
        <v>552</v>
      </c>
      <c r="E277" s="78"/>
      <c r="F277" s="15"/>
      <c r="G277" s="26"/>
      <c r="H277" s="12" t="b">
        <v>0</v>
      </c>
      <c r="I277" s="28"/>
      <c r="J277" s="12" t="b">
        <v>0</v>
      </c>
    </row>
    <row r="278">
      <c r="A278" s="12"/>
      <c r="B278" s="13" t="s">
        <v>445</v>
      </c>
      <c r="C278" s="12"/>
      <c r="D278" s="71" t="s">
        <v>553</v>
      </c>
      <c r="E278" s="78"/>
      <c r="F278" s="15"/>
      <c r="G278" s="16" t="s">
        <v>466</v>
      </c>
      <c r="H278" s="12" t="b">
        <v>0</v>
      </c>
      <c r="I278" s="28"/>
      <c r="J278" s="12" t="b">
        <v>0</v>
      </c>
    </row>
    <row r="279">
      <c r="A279" s="12"/>
      <c r="B279" s="13" t="s">
        <v>445</v>
      </c>
      <c r="C279" s="12"/>
      <c r="D279" s="71" t="s">
        <v>554</v>
      </c>
      <c r="E279" s="78"/>
      <c r="F279" s="15"/>
      <c r="G279" s="26"/>
      <c r="H279" s="12" t="b">
        <v>0</v>
      </c>
      <c r="I279" s="28"/>
      <c r="J279" s="12" t="b">
        <v>0</v>
      </c>
    </row>
    <row r="280">
      <c r="A280" s="19" t="s">
        <v>45</v>
      </c>
      <c r="B280" s="19" t="s">
        <v>445</v>
      </c>
      <c r="C280" s="19"/>
      <c r="D280" s="71" t="s">
        <v>555</v>
      </c>
      <c r="E280" s="20"/>
      <c r="F280" s="21">
        <f>E280*K278*1.16</f>
        <v>0</v>
      </c>
      <c r="G280" s="29"/>
      <c r="H280" s="19" t="b">
        <v>1</v>
      </c>
      <c r="I280" s="25" t="s">
        <v>22</v>
      </c>
      <c r="J280" s="18" t="b">
        <v>0</v>
      </c>
      <c r="K280" s="24"/>
      <c r="L280" s="19" t="s">
        <v>317</v>
      </c>
      <c r="M280" s="24"/>
      <c r="N280" s="24"/>
    </row>
    <row r="281">
      <c r="A281" s="12"/>
      <c r="B281" s="13" t="s">
        <v>445</v>
      </c>
      <c r="C281" s="12"/>
      <c r="D281" s="71" t="s">
        <v>556</v>
      </c>
      <c r="E281" s="78"/>
      <c r="F281" s="15"/>
      <c r="G281" s="16" t="s">
        <v>466</v>
      </c>
      <c r="H281" s="12" t="b">
        <v>0</v>
      </c>
      <c r="I281" s="28"/>
      <c r="J281" s="12" t="b">
        <v>0</v>
      </c>
    </row>
    <row r="282">
      <c r="A282" s="12"/>
      <c r="B282" s="13" t="s">
        <v>445</v>
      </c>
      <c r="C282" s="12"/>
      <c r="D282" s="71" t="s">
        <v>557</v>
      </c>
      <c r="E282" s="78"/>
      <c r="F282" s="15"/>
      <c r="G282" s="16" t="s">
        <v>466</v>
      </c>
      <c r="H282" s="12" t="b">
        <v>0</v>
      </c>
      <c r="I282" s="28"/>
      <c r="J282" s="12" t="b">
        <v>0</v>
      </c>
    </row>
    <row r="283">
      <c r="A283" s="12"/>
      <c r="B283" s="13" t="s">
        <v>445</v>
      </c>
      <c r="C283" s="12"/>
      <c r="D283" s="71" t="s">
        <v>558</v>
      </c>
      <c r="E283" s="78"/>
      <c r="F283" s="15"/>
      <c r="G283" s="26"/>
      <c r="H283" s="12" t="b">
        <v>0</v>
      </c>
      <c r="I283" s="28"/>
      <c r="J283" s="12" t="b">
        <v>0</v>
      </c>
    </row>
    <row r="284">
      <c r="A284" s="12"/>
      <c r="B284" s="13" t="s">
        <v>445</v>
      </c>
      <c r="C284" s="12"/>
      <c r="D284" s="71" t="s">
        <v>559</v>
      </c>
      <c r="E284" s="78"/>
      <c r="F284" s="15"/>
      <c r="G284" s="26"/>
      <c r="H284" s="12" t="b">
        <v>0</v>
      </c>
      <c r="I284" s="28"/>
      <c r="J284" s="12" t="b">
        <v>0</v>
      </c>
    </row>
    <row r="285">
      <c r="A285" s="12"/>
      <c r="B285" s="13" t="s">
        <v>445</v>
      </c>
      <c r="C285" s="12"/>
      <c r="D285" s="71" t="s">
        <v>560</v>
      </c>
      <c r="E285" s="78"/>
      <c r="F285" s="15"/>
      <c r="G285" s="16" t="s">
        <v>466</v>
      </c>
      <c r="H285" s="12" t="b">
        <v>0</v>
      </c>
      <c r="I285" s="28"/>
      <c r="J285" s="12" t="b">
        <v>0</v>
      </c>
    </row>
    <row r="286">
      <c r="A286" s="12"/>
      <c r="B286" s="13" t="s">
        <v>445</v>
      </c>
      <c r="C286" s="12"/>
      <c r="D286" s="71" t="s">
        <v>561</v>
      </c>
      <c r="E286" s="78"/>
      <c r="F286" s="15"/>
      <c r="G286" s="16" t="s">
        <v>466</v>
      </c>
      <c r="H286" s="12" t="b">
        <v>0</v>
      </c>
      <c r="I286" s="28"/>
      <c r="J286" s="12" t="b">
        <v>0</v>
      </c>
    </row>
    <row r="287">
      <c r="A287" s="12"/>
      <c r="B287" s="13" t="s">
        <v>445</v>
      </c>
      <c r="C287" s="12"/>
      <c r="D287" s="71" t="s">
        <v>562</v>
      </c>
      <c r="E287" s="78"/>
      <c r="F287" s="15"/>
      <c r="G287" s="26"/>
      <c r="H287" s="12" t="b">
        <v>0</v>
      </c>
      <c r="I287" s="28"/>
      <c r="J287" s="12" t="b">
        <v>0</v>
      </c>
    </row>
    <row r="288">
      <c r="A288" s="13" t="s">
        <v>45</v>
      </c>
      <c r="B288" s="13" t="s">
        <v>445</v>
      </c>
      <c r="C288" s="12"/>
      <c r="D288" s="71" t="s">
        <v>563</v>
      </c>
      <c r="E288" s="78"/>
      <c r="F288" s="15"/>
      <c r="G288" s="26"/>
      <c r="H288" s="12" t="b">
        <v>0</v>
      </c>
      <c r="I288" s="28"/>
      <c r="J288" s="12" t="b">
        <v>0</v>
      </c>
    </row>
    <row r="289">
      <c r="A289" s="12"/>
      <c r="B289" s="13" t="s">
        <v>445</v>
      </c>
      <c r="C289" s="12"/>
      <c r="D289" s="71" t="s">
        <v>564</v>
      </c>
      <c r="E289" s="78"/>
      <c r="F289" s="15"/>
      <c r="G289" s="26"/>
      <c r="H289" s="12" t="b">
        <v>0</v>
      </c>
      <c r="I289" s="28"/>
      <c r="J289" s="12" t="b">
        <v>0</v>
      </c>
    </row>
    <row r="290">
      <c r="A290" s="12"/>
      <c r="B290" s="13" t="s">
        <v>445</v>
      </c>
      <c r="C290" s="12"/>
      <c r="D290" s="71" t="s">
        <v>565</v>
      </c>
      <c r="E290" s="78"/>
      <c r="F290" s="15"/>
      <c r="G290" s="26"/>
      <c r="H290" s="12" t="b">
        <v>0</v>
      </c>
      <c r="I290" s="28"/>
      <c r="J290" s="12" t="b">
        <v>0</v>
      </c>
    </row>
    <row r="291">
      <c r="A291" s="12"/>
      <c r="B291" s="13" t="s">
        <v>445</v>
      </c>
      <c r="C291" s="12"/>
      <c r="D291" s="71" t="s">
        <v>566</v>
      </c>
      <c r="E291" s="14"/>
      <c r="F291" s="15"/>
      <c r="G291" s="16" t="s">
        <v>15</v>
      </c>
      <c r="H291" s="12" t="b">
        <v>0</v>
      </c>
      <c r="I291" s="28"/>
      <c r="J291" s="12" t="b">
        <v>0</v>
      </c>
    </row>
    <row r="292">
      <c r="A292" s="12"/>
      <c r="B292" s="13" t="s">
        <v>445</v>
      </c>
      <c r="C292" s="12"/>
      <c r="D292" s="71" t="s">
        <v>567</v>
      </c>
      <c r="E292" s="78"/>
      <c r="F292" s="15"/>
      <c r="G292" s="26"/>
      <c r="H292" s="12" t="b">
        <v>0</v>
      </c>
      <c r="I292" s="28"/>
      <c r="J292" s="12" t="b">
        <v>0</v>
      </c>
    </row>
    <row r="293">
      <c r="A293" s="12"/>
      <c r="B293" s="13" t="s">
        <v>445</v>
      </c>
      <c r="C293" s="12"/>
      <c r="D293" s="71" t="s">
        <v>568</v>
      </c>
      <c r="E293" s="78"/>
      <c r="F293" s="15"/>
      <c r="G293" s="26"/>
      <c r="H293" s="12" t="b">
        <v>0</v>
      </c>
      <c r="I293" s="28"/>
      <c r="J293" s="12" t="b">
        <v>0</v>
      </c>
    </row>
    <row r="294">
      <c r="A294" s="12"/>
      <c r="B294" s="13" t="s">
        <v>445</v>
      </c>
      <c r="C294" s="12"/>
      <c r="D294" s="71" t="s">
        <v>569</v>
      </c>
      <c r="E294" s="78"/>
      <c r="F294" s="15"/>
      <c r="G294" s="16" t="s">
        <v>15</v>
      </c>
      <c r="H294" s="12" t="b">
        <v>0</v>
      </c>
      <c r="I294" s="28"/>
      <c r="J294" s="12" t="b">
        <v>0</v>
      </c>
    </row>
    <row r="295">
      <c r="A295" s="12"/>
      <c r="B295" s="13" t="s">
        <v>445</v>
      </c>
      <c r="C295" s="12"/>
      <c r="D295" s="71" t="s">
        <v>570</v>
      </c>
      <c r="E295" s="78"/>
      <c r="F295" s="15"/>
      <c r="G295" s="16" t="s">
        <v>466</v>
      </c>
      <c r="H295" s="12" t="b">
        <v>0</v>
      </c>
      <c r="I295" s="28"/>
      <c r="J295" s="12" t="b">
        <v>0</v>
      </c>
    </row>
    <row r="296">
      <c r="A296" s="13" t="s">
        <v>45</v>
      </c>
      <c r="B296" s="71" t="s">
        <v>445</v>
      </c>
      <c r="C296" s="75"/>
      <c r="D296" s="71" t="s">
        <v>571</v>
      </c>
      <c r="E296" s="78"/>
      <c r="F296" s="15"/>
      <c r="G296" s="26"/>
      <c r="H296" s="13" t="b">
        <v>1</v>
      </c>
      <c r="I296" s="28"/>
      <c r="J296" s="12" t="b">
        <v>0</v>
      </c>
    </row>
    <row r="297">
      <c r="A297" s="12"/>
      <c r="B297" s="13" t="s">
        <v>445</v>
      </c>
      <c r="C297" s="12"/>
      <c r="D297" s="71" t="s">
        <v>572</v>
      </c>
      <c r="E297" s="78"/>
      <c r="F297" s="15"/>
      <c r="G297" s="26"/>
      <c r="H297" s="12" t="b">
        <v>0</v>
      </c>
      <c r="I297" s="28"/>
      <c r="J297" s="12" t="b">
        <v>0</v>
      </c>
    </row>
    <row r="298">
      <c r="A298" s="12"/>
      <c r="B298" s="13" t="s">
        <v>445</v>
      </c>
      <c r="C298" s="12"/>
      <c r="D298" s="71" t="s">
        <v>573</v>
      </c>
      <c r="E298" s="78"/>
      <c r="F298" s="15"/>
      <c r="G298" s="16" t="s">
        <v>466</v>
      </c>
      <c r="H298" s="12" t="b">
        <v>0</v>
      </c>
      <c r="I298" s="28"/>
      <c r="J298" s="12" t="b">
        <v>0</v>
      </c>
    </row>
    <row r="299">
      <c r="A299" s="12"/>
      <c r="B299" s="13" t="s">
        <v>445</v>
      </c>
      <c r="C299" s="12"/>
      <c r="D299" s="71" t="s">
        <v>574</v>
      </c>
      <c r="E299" s="78"/>
      <c r="F299" s="15"/>
      <c r="G299" s="26"/>
      <c r="H299" s="12" t="b">
        <v>0</v>
      </c>
      <c r="I299" s="28"/>
      <c r="J299" s="12" t="b">
        <v>0</v>
      </c>
    </row>
    <row r="300">
      <c r="A300" s="13" t="s">
        <v>45</v>
      </c>
      <c r="B300" s="71" t="s">
        <v>445</v>
      </c>
      <c r="C300" s="75"/>
      <c r="D300" s="71" t="s">
        <v>575</v>
      </c>
      <c r="E300" s="78"/>
      <c r="F300" s="15"/>
      <c r="G300" s="26"/>
      <c r="H300" s="13" t="b">
        <v>1</v>
      </c>
      <c r="I300" s="28"/>
      <c r="J300" s="12" t="b">
        <v>0</v>
      </c>
    </row>
    <row r="301">
      <c r="A301" s="13" t="s">
        <v>45</v>
      </c>
      <c r="B301" s="71" t="s">
        <v>445</v>
      </c>
      <c r="C301" s="75"/>
      <c r="D301" s="71" t="s">
        <v>576</v>
      </c>
      <c r="E301" s="78"/>
      <c r="F301" s="15"/>
      <c r="G301" s="26"/>
      <c r="H301" s="13" t="b">
        <v>1</v>
      </c>
      <c r="I301" s="28"/>
      <c r="J301" s="12" t="b">
        <v>0</v>
      </c>
    </row>
    <row r="302">
      <c r="A302" s="12"/>
      <c r="B302" s="13" t="s">
        <v>445</v>
      </c>
      <c r="C302" s="12"/>
      <c r="D302" s="71" t="s">
        <v>577</v>
      </c>
      <c r="E302" s="78"/>
      <c r="F302" s="15"/>
      <c r="G302" s="16" t="s">
        <v>466</v>
      </c>
      <c r="H302" s="12" t="b">
        <v>0</v>
      </c>
      <c r="I302" s="28"/>
      <c r="J302" s="12" t="b">
        <v>0</v>
      </c>
    </row>
    <row r="303">
      <c r="A303" s="12"/>
      <c r="B303" s="13" t="s">
        <v>445</v>
      </c>
      <c r="C303" s="12"/>
      <c r="D303" s="71" t="s">
        <v>578</v>
      </c>
      <c r="E303" s="14">
        <v>350.0</v>
      </c>
      <c r="F303" s="15"/>
      <c r="G303" s="16" t="s">
        <v>579</v>
      </c>
      <c r="H303" s="12" t="b">
        <v>0</v>
      </c>
      <c r="I303" s="28"/>
      <c r="J303" s="12" t="b">
        <v>0</v>
      </c>
    </row>
    <row r="304">
      <c r="A304" s="12"/>
      <c r="B304" s="13" t="s">
        <v>445</v>
      </c>
      <c r="C304" s="12"/>
      <c r="D304" s="71" t="s">
        <v>580</v>
      </c>
      <c r="E304" s="14">
        <v>150.0</v>
      </c>
      <c r="F304" s="15"/>
      <c r="G304" s="16" t="s">
        <v>579</v>
      </c>
      <c r="H304" s="12" t="b">
        <v>0</v>
      </c>
      <c r="I304" s="28"/>
      <c r="J304" s="12" t="b">
        <v>0</v>
      </c>
    </row>
    <row r="305">
      <c r="A305" s="12"/>
      <c r="B305" s="13" t="s">
        <v>445</v>
      </c>
      <c r="C305" s="12"/>
      <c r="D305" s="71" t="s">
        <v>581</v>
      </c>
      <c r="E305" s="78"/>
      <c r="F305" s="15"/>
      <c r="G305" s="16" t="s">
        <v>582</v>
      </c>
      <c r="H305" s="12" t="b">
        <v>0</v>
      </c>
      <c r="I305" s="28"/>
      <c r="J305" s="12" t="b">
        <v>0</v>
      </c>
    </row>
    <row r="306">
      <c r="A306" s="12"/>
      <c r="B306" s="13" t="s">
        <v>445</v>
      </c>
      <c r="C306" s="12"/>
      <c r="D306" s="71" t="s">
        <v>583</v>
      </c>
      <c r="E306" s="14">
        <v>250.0</v>
      </c>
      <c r="F306" s="15"/>
      <c r="G306" s="16" t="s">
        <v>582</v>
      </c>
      <c r="H306" s="12" t="b">
        <v>0</v>
      </c>
      <c r="I306" s="28"/>
      <c r="J306" s="12" t="b">
        <v>0</v>
      </c>
    </row>
    <row r="307">
      <c r="A307" s="18"/>
      <c r="B307" s="19" t="s">
        <v>584</v>
      </c>
      <c r="C307" s="18"/>
      <c r="D307" s="19" t="s">
        <v>585</v>
      </c>
      <c r="E307" s="20">
        <v>950.0</v>
      </c>
      <c r="F307" s="21" t="str">
        <f>E307*#REF!*1.16</f>
        <v>#REF!</v>
      </c>
      <c r="G307" s="22" t="s">
        <v>586</v>
      </c>
      <c r="H307" s="19" t="b">
        <v>1</v>
      </c>
      <c r="I307" s="25" t="s">
        <v>587</v>
      </c>
      <c r="J307" s="18" t="b">
        <v>0</v>
      </c>
      <c r="K307" s="24"/>
      <c r="L307" s="24"/>
      <c r="M307" s="24"/>
      <c r="N307" s="24"/>
    </row>
    <row r="308">
      <c r="A308" s="12"/>
      <c r="B308" s="13" t="s">
        <v>584</v>
      </c>
      <c r="C308" s="12"/>
      <c r="D308" s="31" t="s">
        <v>588</v>
      </c>
      <c r="E308" s="79">
        <v>4000.0</v>
      </c>
      <c r="F308" s="15"/>
      <c r="G308" s="26"/>
      <c r="H308" s="12" t="b">
        <v>0</v>
      </c>
      <c r="I308" s="28"/>
      <c r="J308" s="12" t="b">
        <v>0</v>
      </c>
    </row>
    <row r="309">
      <c r="A309" s="19" t="s">
        <v>45</v>
      </c>
      <c r="B309" s="19" t="s">
        <v>589</v>
      </c>
      <c r="C309" s="18"/>
      <c r="D309" s="19" t="s">
        <v>590</v>
      </c>
      <c r="E309" s="20">
        <v>330.0</v>
      </c>
      <c r="F309" s="21" t="str">
        <f>E309*#REF!*1.16</f>
        <v>#REF!</v>
      </c>
      <c r="G309" s="22" t="s">
        <v>168</v>
      </c>
      <c r="H309" s="19" t="b">
        <v>1</v>
      </c>
      <c r="I309" s="25" t="s">
        <v>591</v>
      </c>
      <c r="J309" s="19" t="b">
        <v>1</v>
      </c>
      <c r="K309" s="24"/>
      <c r="L309" s="24"/>
      <c r="M309" s="24"/>
      <c r="N309" s="24"/>
    </row>
    <row r="310">
      <c r="A310" s="12"/>
      <c r="B310" s="13" t="s">
        <v>589</v>
      </c>
      <c r="C310" s="12"/>
      <c r="D310" s="13" t="s">
        <v>592</v>
      </c>
      <c r="E310" s="14">
        <v>700.0</v>
      </c>
      <c r="F310" s="15"/>
      <c r="G310" s="16" t="s">
        <v>593</v>
      </c>
      <c r="H310" s="12" t="b">
        <v>0</v>
      </c>
      <c r="I310" s="17" t="s">
        <v>594</v>
      </c>
      <c r="J310" s="12" t="b">
        <v>0</v>
      </c>
    </row>
    <row r="311">
      <c r="A311" s="19"/>
      <c r="B311" s="19" t="s">
        <v>589</v>
      </c>
      <c r="C311" s="18"/>
      <c r="D311" s="19" t="s">
        <v>595</v>
      </c>
      <c r="E311" s="20">
        <v>800.0</v>
      </c>
      <c r="F311" s="21" t="str">
        <f t="shared" ref="F311:F315" si="27">E311*#REF!*1.16</f>
        <v>#REF!</v>
      </c>
      <c r="G311" s="22" t="s">
        <v>596</v>
      </c>
      <c r="H311" s="19" t="b">
        <v>1</v>
      </c>
      <c r="I311" s="25" t="s">
        <v>597</v>
      </c>
      <c r="J311" s="18" t="b">
        <v>0</v>
      </c>
      <c r="K311" s="24"/>
      <c r="L311" s="24"/>
      <c r="M311" s="24"/>
      <c r="N311" s="24"/>
    </row>
    <row r="312">
      <c r="A312" s="19" t="s">
        <v>45</v>
      </c>
      <c r="B312" s="19" t="s">
        <v>589</v>
      </c>
      <c r="C312" s="18"/>
      <c r="D312" s="19" t="s">
        <v>598</v>
      </c>
      <c r="E312" s="20">
        <v>1500.0</v>
      </c>
      <c r="F312" s="21" t="str">
        <f t="shared" si="27"/>
        <v>#REF!</v>
      </c>
      <c r="G312" s="22" t="s">
        <v>279</v>
      </c>
      <c r="H312" s="19" t="b">
        <v>1</v>
      </c>
      <c r="I312" s="23"/>
      <c r="J312" s="18" t="b">
        <v>0</v>
      </c>
      <c r="K312" s="24"/>
      <c r="L312" s="24"/>
      <c r="M312" s="24"/>
      <c r="N312" s="24"/>
    </row>
    <row r="313">
      <c r="A313" s="19" t="s">
        <v>45</v>
      </c>
      <c r="B313" s="19" t="s">
        <v>589</v>
      </c>
      <c r="C313" s="18"/>
      <c r="D313" s="19" t="s">
        <v>599</v>
      </c>
      <c r="E313" s="20">
        <v>1800.0</v>
      </c>
      <c r="F313" s="21" t="str">
        <f t="shared" si="27"/>
        <v>#REF!</v>
      </c>
      <c r="G313" s="22" t="s">
        <v>600</v>
      </c>
      <c r="H313" s="19" t="b">
        <v>1</v>
      </c>
      <c r="I313" s="25" t="s">
        <v>601</v>
      </c>
      <c r="J313" s="18" t="b">
        <v>0</v>
      </c>
      <c r="K313" s="24"/>
      <c r="L313" s="24"/>
      <c r="M313" s="24"/>
      <c r="N313" s="24"/>
    </row>
    <row r="314">
      <c r="A314" s="19" t="s">
        <v>45</v>
      </c>
      <c r="B314" s="19" t="s">
        <v>589</v>
      </c>
      <c r="C314" s="19"/>
      <c r="D314" s="19" t="s">
        <v>602</v>
      </c>
      <c r="E314" s="20">
        <v>2750.0</v>
      </c>
      <c r="F314" s="21" t="str">
        <f t="shared" si="27"/>
        <v>#REF!</v>
      </c>
      <c r="G314" s="22" t="s">
        <v>603</v>
      </c>
      <c r="H314" s="19" t="b">
        <v>1</v>
      </c>
      <c r="I314" s="25" t="s">
        <v>604</v>
      </c>
      <c r="J314" s="19" t="b">
        <v>1</v>
      </c>
      <c r="K314" s="18"/>
      <c r="L314" s="18"/>
      <c r="M314" s="18"/>
      <c r="N314" s="24"/>
    </row>
    <row r="315">
      <c r="A315" s="13" t="s">
        <v>45</v>
      </c>
      <c r="B315" s="13" t="s">
        <v>589</v>
      </c>
      <c r="C315" s="12"/>
      <c r="D315" s="13" t="s">
        <v>605</v>
      </c>
      <c r="E315" s="14">
        <v>450000.0</v>
      </c>
      <c r="F315" s="21" t="str">
        <f t="shared" si="27"/>
        <v>#REF!</v>
      </c>
      <c r="G315" s="16" t="s">
        <v>606</v>
      </c>
      <c r="H315" s="12" t="b">
        <v>0</v>
      </c>
      <c r="I315" s="17" t="s">
        <v>607</v>
      </c>
      <c r="J315" s="12" t="b">
        <v>0</v>
      </c>
    </row>
    <row r="316">
      <c r="A316" s="12"/>
      <c r="B316" s="13" t="s">
        <v>184</v>
      </c>
      <c r="C316" s="13" t="s">
        <v>199</v>
      </c>
      <c r="D316" s="13" t="s">
        <v>608</v>
      </c>
      <c r="E316" s="14">
        <v>850.0</v>
      </c>
      <c r="F316" s="15"/>
      <c r="G316" s="16" t="s">
        <v>276</v>
      </c>
      <c r="H316" s="12" t="b">
        <v>0</v>
      </c>
      <c r="I316" s="28"/>
      <c r="J316" s="12" t="b">
        <v>0</v>
      </c>
    </row>
    <row r="317">
      <c r="A317" s="18"/>
      <c r="B317" s="19"/>
      <c r="C317" s="18"/>
      <c r="D317" s="19" t="s">
        <v>609</v>
      </c>
      <c r="E317" s="20">
        <v>180.0</v>
      </c>
      <c r="F317" s="21" t="str">
        <f t="shared" ref="F317:F318" si="28">E317*#REF!*1.16</f>
        <v>#REF!</v>
      </c>
      <c r="G317" s="29"/>
      <c r="H317" s="18" t="b">
        <v>0</v>
      </c>
      <c r="I317" s="23"/>
      <c r="J317" s="18" t="b">
        <v>0</v>
      </c>
      <c r="K317" s="24"/>
      <c r="L317" s="24"/>
      <c r="M317" s="24"/>
      <c r="N317" s="24"/>
    </row>
    <row r="318">
      <c r="A318" s="18"/>
      <c r="B318" s="18"/>
      <c r="C318" s="18"/>
      <c r="D318" s="19" t="s">
        <v>610</v>
      </c>
      <c r="E318" s="20">
        <v>200.0</v>
      </c>
      <c r="F318" s="21" t="str">
        <f t="shared" si="28"/>
        <v>#REF!</v>
      </c>
      <c r="G318" s="22" t="s">
        <v>206</v>
      </c>
      <c r="H318" s="19" t="b">
        <v>1</v>
      </c>
      <c r="I318" s="25" t="s">
        <v>611</v>
      </c>
      <c r="J318" s="18" t="b">
        <v>0</v>
      </c>
      <c r="K318" s="24"/>
      <c r="L318" s="24"/>
      <c r="M318" s="24"/>
      <c r="N318" s="24"/>
    </row>
    <row r="319">
      <c r="A319" s="12"/>
      <c r="B319" s="13" t="s">
        <v>13</v>
      </c>
      <c r="C319" s="12"/>
      <c r="D319" s="13" t="s">
        <v>612</v>
      </c>
      <c r="E319" s="14">
        <v>280.0</v>
      </c>
      <c r="F319" s="15"/>
      <c r="G319" s="16" t="s">
        <v>15</v>
      </c>
      <c r="H319" s="13" t="b">
        <v>1</v>
      </c>
      <c r="I319" s="17" t="s">
        <v>613</v>
      </c>
      <c r="J319" s="12" t="b">
        <v>0</v>
      </c>
    </row>
    <row r="320">
      <c r="A320" s="12"/>
      <c r="B320" s="13" t="s">
        <v>13</v>
      </c>
      <c r="C320" s="12"/>
      <c r="D320" s="13" t="s">
        <v>614</v>
      </c>
      <c r="E320" s="14">
        <v>280.0</v>
      </c>
      <c r="F320" s="15"/>
      <c r="G320" s="16" t="s">
        <v>15</v>
      </c>
      <c r="H320" s="13" t="b">
        <v>1</v>
      </c>
      <c r="I320" s="17" t="s">
        <v>615</v>
      </c>
      <c r="J320" s="12" t="b">
        <v>0</v>
      </c>
    </row>
    <row r="321">
      <c r="A321" s="18"/>
      <c r="B321" s="18"/>
      <c r="C321" s="18"/>
      <c r="D321" s="19" t="s">
        <v>616</v>
      </c>
      <c r="E321" s="20">
        <v>300.0</v>
      </c>
      <c r="F321" s="21" t="str">
        <f>E321*#REF!*1.16</f>
        <v>#REF!</v>
      </c>
      <c r="G321" s="22" t="s">
        <v>206</v>
      </c>
      <c r="H321" s="19" t="b">
        <v>1</v>
      </c>
      <c r="I321" s="25" t="s">
        <v>617</v>
      </c>
      <c r="J321" s="18" t="b">
        <v>0</v>
      </c>
      <c r="K321" s="24"/>
      <c r="L321" s="24"/>
      <c r="M321" s="24"/>
      <c r="N321" s="24"/>
    </row>
    <row r="322">
      <c r="A322" s="12"/>
      <c r="B322" s="12"/>
      <c r="C322" s="12"/>
      <c r="D322" s="13" t="s">
        <v>618</v>
      </c>
      <c r="E322" s="14">
        <v>350.0</v>
      </c>
      <c r="F322" s="15"/>
      <c r="G322" s="26"/>
      <c r="H322" s="12" t="b">
        <v>0</v>
      </c>
      <c r="I322" s="28"/>
      <c r="J322" s="12" t="b">
        <v>0</v>
      </c>
    </row>
    <row r="323">
      <c r="A323" s="12"/>
      <c r="B323" s="12"/>
      <c r="C323" s="12"/>
      <c r="D323" s="13" t="s">
        <v>619</v>
      </c>
      <c r="E323" s="14">
        <v>350.0</v>
      </c>
      <c r="F323" s="15"/>
      <c r="G323" s="16" t="s">
        <v>206</v>
      </c>
      <c r="H323" s="12" t="b">
        <v>0</v>
      </c>
      <c r="I323" s="28"/>
      <c r="J323" s="12" t="b">
        <v>0</v>
      </c>
    </row>
    <row r="324">
      <c r="A324" s="12"/>
      <c r="B324" s="12"/>
      <c r="C324" s="12"/>
      <c r="D324" s="13" t="s">
        <v>620</v>
      </c>
      <c r="E324" s="14">
        <v>380.0</v>
      </c>
      <c r="F324" s="15"/>
      <c r="G324" s="16" t="s">
        <v>206</v>
      </c>
      <c r="H324" s="12" t="b">
        <v>0</v>
      </c>
      <c r="I324" s="17" t="s">
        <v>621</v>
      </c>
      <c r="J324" s="12" t="b">
        <v>0</v>
      </c>
    </row>
    <row r="325">
      <c r="A325" s="18"/>
      <c r="B325" s="19" t="s">
        <v>184</v>
      </c>
      <c r="C325" s="19" t="s">
        <v>622</v>
      </c>
      <c r="D325" s="19" t="s">
        <v>623</v>
      </c>
      <c r="E325" s="20">
        <v>250.0</v>
      </c>
      <c r="F325" s="21" t="str">
        <f>E325*#REF!*1.16</f>
        <v>#REF!</v>
      </c>
      <c r="G325" s="22" t="s">
        <v>206</v>
      </c>
      <c r="H325" s="18" t="b">
        <v>0</v>
      </c>
      <c r="I325" s="25" t="s">
        <v>624</v>
      </c>
      <c r="J325" s="18" t="b">
        <v>0</v>
      </c>
      <c r="K325" s="24"/>
      <c r="L325" s="24"/>
      <c r="M325" s="24"/>
      <c r="N325" s="24"/>
    </row>
    <row r="326">
      <c r="A326" s="12"/>
      <c r="B326" s="12"/>
      <c r="C326" s="12"/>
      <c r="D326" s="13" t="s">
        <v>625</v>
      </c>
      <c r="E326" s="14">
        <v>450.0</v>
      </c>
      <c r="F326" s="15"/>
      <c r="G326" s="16" t="s">
        <v>15</v>
      </c>
      <c r="H326" s="12" t="b">
        <v>0</v>
      </c>
      <c r="I326" s="28"/>
      <c r="J326" s="12" t="b">
        <v>0</v>
      </c>
    </row>
    <row r="327">
      <c r="A327" s="18"/>
      <c r="B327" s="18"/>
      <c r="C327" s="18"/>
      <c r="D327" s="73" t="s">
        <v>626</v>
      </c>
      <c r="E327" s="20">
        <v>600.0</v>
      </c>
      <c r="F327" s="21" t="str">
        <f>E327*#REF!*1.16</f>
        <v>#REF!</v>
      </c>
      <c r="G327" s="29"/>
      <c r="H327" s="19" t="b">
        <v>1</v>
      </c>
      <c r="I327" s="76" t="s">
        <v>627</v>
      </c>
      <c r="J327" s="18" t="b">
        <v>0</v>
      </c>
      <c r="K327" s="24"/>
      <c r="L327" s="24"/>
      <c r="M327" s="24"/>
      <c r="N327" s="24"/>
    </row>
    <row r="328">
      <c r="A328" s="65"/>
      <c r="B328" s="65"/>
      <c r="C328" s="65"/>
      <c r="D328" s="60" t="s">
        <v>628</v>
      </c>
      <c r="E328" s="61">
        <v>600.0</v>
      </c>
      <c r="F328" s="62"/>
      <c r="G328" s="66"/>
      <c r="H328" s="60" t="b">
        <v>1</v>
      </c>
      <c r="I328" s="17" t="s">
        <v>629</v>
      </c>
      <c r="J328" s="12" t="b">
        <v>0</v>
      </c>
    </row>
    <row r="329">
      <c r="A329" s="12"/>
      <c r="B329" s="13"/>
      <c r="C329" s="12"/>
      <c r="D329" s="13" t="s">
        <v>630</v>
      </c>
      <c r="E329" s="14">
        <v>840.0</v>
      </c>
      <c r="F329" s="15"/>
      <c r="G329" s="26"/>
      <c r="H329" s="13" t="b">
        <v>1</v>
      </c>
      <c r="I329" s="17" t="s">
        <v>631</v>
      </c>
      <c r="J329" s="12" t="b">
        <v>0</v>
      </c>
    </row>
    <row r="330">
      <c r="A330" s="13" t="s">
        <v>89</v>
      </c>
      <c r="B330" s="13"/>
      <c r="C330" s="12"/>
      <c r="D330" s="13" t="s">
        <v>632</v>
      </c>
      <c r="E330" s="14">
        <v>900.0</v>
      </c>
      <c r="F330" s="15"/>
      <c r="G330" s="16" t="s">
        <v>633</v>
      </c>
      <c r="H330" s="13" t="b">
        <v>1</v>
      </c>
      <c r="I330" s="28"/>
      <c r="J330" s="12" t="b">
        <v>0</v>
      </c>
    </row>
    <row r="331">
      <c r="A331" s="12"/>
      <c r="B331" s="12"/>
      <c r="C331" s="12"/>
      <c r="D331" s="13" t="s">
        <v>634</v>
      </c>
      <c r="E331" s="14">
        <v>900.0</v>
      </c>
      <c r="F331" s="15"/>
      <c r="G331" s="26"/>
      <c r="H331" s="12" t="b">
        <v>0</v>
      </c>
      <c r="I331" s="28"/>
      <c r="J331" s="12" t="b">
        <v>0</v>
      </c>
    </row>
    <row r="332">
      <c r="A332" s="12"/>
      <c r="B332" s="12"/>
      <c r="C332" s="12"/>
      <c r="D332" s="13" t="s">
        <v>635</v>
      </c>
      <c r="E332" s="14">
        <v>1000.0</v>
      </c>
      <c r="F332" s="21" t="str">
        <f>E332*#REF!*1.16</f>
        <v>#REF!</v>
      </c>
      <c r="G332" s="26"/>
      <c r="H332" s="13" t="b">
        <v>1</v>
      </c>
      <c r="I332" s="17" t="s">
        <v>636</v>
      </c>
      <c r="J332" s="12" t="b">
        <v>0</v>
      </c>
    </row>
    <row r="333">
      <c r="A333" s="12"/>
      <c r="B333" s="13" t="s">
        <v>281</v>
      </c>
      <c r="C333" s="12"/>
      <c r="D333" s="13" t="s">
        <v>637</v>
      </c>
      <c r="E333" s="14">
        <v>1000.0</v>
      </c>
      <c r="F333" s="15"/>
      <c r="G333" s="26"/>
      <c r="H333" s="12" t="b">
        <v>0</v>
      </c>
      <c r="I333" s="28"/>
      <c r="J333" s="12" t="b">
        <v>0</v>
      </c>
    </row>
    <row r="334">
      <c r="A334" s="12"/>
      <c r="B334" s="13" t="s">
        <v>281</v>
      </c>
      <c r="C334" s="12"/>
      <c r="D334" s="13" t="s">
        <v>638</v>
      </c>
      <c r="E334" s="14">
        <v>1400.0</v>
      </c>
      <c r="F334" s="15"/>
      <c r="G334" s="16" t="s">
        <v>639</v>
      </c>
      <c r="H334" s="13" t="b">
        <v>1</v>
      </c>
      <c r="I334" s="28"/>
      <c r="J334" s="12" t="b">
        <v>0</v>
      </c>
    </row>
    <row r="335">
      <c r="A335" s="12"/>
      <c r="B335" s="12"/>
      <c r="C335" s="12"/>
      <c r="D335" s="13" t="s">
        <v>640</v>
      </c>
      <c r="E335" s="14">
        <v>1500.0</v>
      </c>
      <c r="F335" s="15"/>
      <c r="G335" s="16" t="s">
        <v>313</v>
      </c>
      <c r="H335" s="13" t="b">
        <v>1</v>
      </c>
      <c r="I335" s="30" t="s">
        <v>641</v>
      </c>
      <c r="J335" s="12" t="b">
        <v>0</v>
      </c>
    </row>
    <row r="336">
      <c r="A336" s="18"/>
      <c r="B336" s="18"/>
      <c r="C336" s="18"/>
      <c r="D336" s="19" t="s">
        <v>642</v>
      </c>
      <c r="E336" s="20">
        <v>1999.0</v>
      </c>
      <c r="F336" s="21" t="str">
        <f>E336*#REF!*1.16</f>
        <v>#REF!</v>
      </c>
      <c r="G336" s="22" t="s">
        <v>643</v>
      </c>
      <c r="H336" s="19" t="b">
        <v>1</v>
      </c>
      <c r="I336" s="25" t="s">
        <v>644</v>
      </c>
      <c r="J336" s="18" t="b">
        <v>0</v>
      </c>
      <c r="K336" s="24"/>
      <c r="L336" s="24"/>
      <c r="M336" s="24"/>
      <c r="N336" s="24"/>
    </row>
    <row r="337">
      <c r="A337" s="12"/>
      <c r="B337" s="13" t="s">
        <v>184</v>
      </c>
      <c r="C337" s="12"/>
      <c r="D337" s="13" t="s">
        <v>645</v>
      </c>
      <c r="E337" s="14">
        <v>2000.0</v>
      </c>
      <c r="F337" s="15"/>
      <c r="G337" s="26"/>
      <c r="H337" s="13" t="b">
        <v>1</v>
      </c>
      <c r="I337" s="17" t="s">
        <v>646</v>
      </c>
      <c r="J337" s="12" t="b">
        <v>0</v>
      </c>
    </row>
    <row r="338">
      <c r="A338" s="12"/>
      <c r="B338" s="13" t="s">
        <v>23</v>
      </c>
      <c r="C338" s="12"/>
      <c r="D338" s="13" t="s">
        <v>647</v>
      </c>
      <c r="E338" s="14">
        <v>2900.0</v>
      </c>
      <c r="F338" s="15"/>
      <c r="G338" s="16" t="s">
        <v>648</v>
      </c>
      <c r="H338" s="13" t="b">
        <v>1</v>
      </c>
      <c r="I338" s="28"/>
      <c r="J338" s="12" t="b">
        <v>0</v>
      </c>
    </row>
    <row r="339">
      <c r="A339" s="12"/>
      <c r="B339" s="13" t="s">
        <v>23</v>
      </c>
      <c r="C339" s="12"/>
      <c r="D339" s="13" t="s">
        <v>649</v>
      </c>
      <c r="E339" s="14">
        <v>3300.0</v>
      </c>
      <c r="F339" s="15"/>
      <c r="G339" s="26"/>
      <c r="H339" s="13" t="b">
        <v>1</v>
      </c>
      <c r="I339" s="17" t="s">
        <v>650</v>
      </c>
      <c r="J339" s="12" t="b">
        <v>0</v>
      </c>
    </row>
    <row r="340">
      <c r="A340" s="12"/>
      <c r="B340" s="13" t="s">
        <v>281</v>
      </c>
      <c r="C340" s="12"/>
      <c r="D340" s="13" t="s">
        <v>651</v>
      </c>
      <c r="E340" s="14">
        <v>2800.0</v>
      </c>
      <c r="F340" s="15"/>
      <c r="G340" s="16" t="s">
        <v>639</v>
      </c>
      <c r="H340" s="13" t="b">
        <v>1</v>
      </c>
      <c r="I340" s="17" t="s">
        <v>652</v>
      </c>
      <c r="J340" s="12" t="b">
        <v>0</v>
      </c>
    </row>
    <row r="341">
      <c r="A341" s="12"/>
      <c r="B341" s="13" t="s">
        <v>281</v>
      </c>
      <c r="C341" s="12"/>
      <c r="D341" s="13" t="s">
        <v>653</v>
      </c>
      <c r="E341" s="14">
        <v>3800.0</v>
      </c>
      <c r="F341" s="15"/>
      <c r="G341" s="26"/>
      <c r="H341" s="12" t="b">
        <v>0</v>
      </c>
      <c r="I341" s="28"/>
      <c r="J341" s="12" t="b">
        <v>0</v>
      </c>
    </row>
    <row r="342">
      <c r="A342" s="12"/>
      <c r="B342" s="13" t="s">
        <v>445</v>
      </c>
      <c r="C342" s="12"/>
      <c r="D342" s="13" t="s">
        <v>654</v>
      </c>
      <c r="E342" s="14"/>
      <c r="F342" s="15"/>
      <c r="G342" s="16" t="s">
        <v>15</v>
      </c>
      <c r="H342" s="12" t="b">
        <v>0</v>
      </c>
      <c r="I342" s="28"/>
      <c r="J342" s="12" t="b">
        <v>0</v>
      </c>
    </row>
    <row r="343">
      <c r="A343" s="12"/>
      <c r="B343" s="13" t="s">
        <v>445</v>
      </c>
      <c r="C343" s="12"/>
      <c r="D343" s="13" t="s">
        <v>655</v>
      </c>
      <c r="E343" s="14"/>
      <c r="F343" s="15"/>
      <c r="G343" s="16" t="s">
        <v>15</v>
      </c>
      <c r="H343" s="12" t="b">
        <v>0</v>
      </c>
      <c r="I343" s="28"/>
      <c r="J343" s="12" t="b">
        <v>0</v>
      </c>
    </row>
    <row r="344">
      <c r="A344" s="12"/>
      <c r="B344" s="12"/>
      <c r="C344" s="12"/>
      <c r="D344" s="13" t="s">
        <v>656</v>
      </c>
      <c r="E344" s="14"/>
      <c r="F344" s="15"/>
      <c r="G344" s="16" t="s">
        <v>15</v>
      </c>
      <c r="H344" s="12" t="b">
        <v>0</v>
      </c>
      <c r="I344" s="28"/>
      <c r="J344" s="12" t="b">
        <v>0</v>
      </c>
    </row>
    <row r="345">
      <c r="A345" s="12"/>
      <c r="B345" s="13" t="s">
        <v>184</v>
      </c>
      <c r="C345" s="13" t="s">
        <v>199</v>
      </c>
      <c r="D345" s="13" t="s">
        <v>657</v>
      </c>
      <c r="E345" s="14">
        <v>400.0</v>
      </c>
      <c r="F345" s="15"/>
      <c r="G345" s="26"/>
      <c r="H345" s="12" t="b">
        <v>0</v>
      </c>
      <c r="I345" s="28"/>
      <c r="J345" s="12" t="b">
        <v>0</v>
      </c>
    </row>
    <row r="346">
      <c r="A346" s="12"/>
      <c r="B346" s="13" t="s">
        <v>184</v>
      </c>
      <c r="C346" s="13" t="s">
        <v>199</v>
      </c>
      <c r="D346" s="13" t="s">
        <v>658</v>
      </c>
      <c r="E346" s="14">
        <v>140.0</v>
      </c>
      <c r="F346" s="15"/>
      <c r="G346" s="26"/>
      <c r="H346" s="12" t="b">
        <v>0</v>
      </c>
      <c r="I346" s="28"/>
      <c r="J346" s="12" t="b">
        <v>0</v>
      </c>
    </row>
    <row r="347">
      <c r="A347" s="12"/>
      <c r="B347" s="13" t="s">
        <v>184</v>
      </c>
      <c r="C347" s="13" t="s">
        <v>199</v>
      </c>
      <c r="D347" s="13" t="s">
        <v>659</v>
      </c>
      <c r="E347" s="14">
        <v>190.0</v>
      </c>
      <c r="F347" s="15"/>
      <c r="G347" s="26"/>
      <c r="H347" s="12" t="b">
        <v>0</v>
      </c>
      <c r="I347" s="17" t="s">
        <v>660</v>
      </c>
      <c r="J347" s="12" t="b">
        <v>0</v>
      </c>
    </row>
    <row r="348">
      <c r="A348" s="12"/>
      <c r="B348" s="13" t="s">
        <v>184</v>
      </c>
      <c r="C348" s="13" t="s">
        <v>199</v>
      </c>
      <c r="D348" s="13" t="s">
        <v>661</v>
      </c>
      <c r="E348" s="14">
        <v>130.0</v>
      </c>
      <c r="F348" s="15"/>
      <c r="G348" s="26"/>
      <c r="H348" s="12" t="b">
        <v>0</v>
      </c>
      <c r="I348" s="28"/>
      <c r="J348" s="12" t="b">
        <v>0</v>
      </c>
    </row>
    <row r="349">
      <c r="A349" s="12"/>
      <c r="B349" s="13" t="s">
        <v>589</v>
      </c>
      <c r="C349" s="12"/>
      <c r="D349" s="13" t="s">
        <v>662</v>
      </c>
      <c r="E349" s="14">
        <v>2850.0</v>
      </c>
      <c r="F349" s="15"/>
      <c r="G349" s="26"/>
      <c r="H349" s="12" t="b">
        <v>0</v>
      </c>
      <c r="I349" s="17" t="s">
        <v>663</v>
      </c>
      <c r="J349" s="12" t="b">
        <v>0</v>
      </c>
    </row>
    <row r="350">
      <c r="A350" s="12"/>
      <c r="B350" s="13" t="s">
        <v>23</v>
      </c>
      <c r="C350" s="12"/>
      <c r="D350" s="13" t="s">
        <v>664</v>
      </c>
      <c r="E350" s="14">
        <v>900.0</v>
      </c>
      <c r="F350" s="15"/>
      <c r="G350" s="26"/>
      <c r="H350" s="12" t="b">
        <v>0</v>
      </c>
      <c r="I350" s="17" t="s">
        <v>665</v>
      </c>
      <c r="J350" s="12" t="b">
        <v>0</v>
      </c>
    </row>
    <row r="351">
      <c r="A351" s="12"/>
      <c r="B351" s="12"/>
      <c r="C351" s="12"/>
      <c r="D351" s="13" t="s">
        <v>666</v>
      </c>
      <c r="E351" s="14">
        <v>350.0</v>
      </c>
      <c r="F351" s="15"/>
      <c r="G351" s="16" t="s">
        <v>206</v>
      </c>
      <c r="H351" s="12" t="b">
        <v>0</v>
      </c>
      <c r="I351" s="28"/>
      <c r="J351" s="12" t="b">
        <v>0</v>
      </c>
    </row>
    <row r="352">
      <c r="A352" s="12"/>
      <c r="B352" s="12"/>
      <c r="C352" s="12"/>
      <c r="D352" s="13" t="s">
        <v>667</v>
      </c>
      <c r="E352" s="14">
        <v>140.0</v>
      </c>
      <c r="F352" s="15"/>
      <c r="G352" s="16" t="s">
        <v>206</v>
      </c>
      <c r="H352" s="12" t="b">
        <v>0</v>
      </c>
      <c r="I352" s="28"/>
      <c r="J352" s="12" t="b">
        <v>0</v>
      </c>
    </row>
    <row r="353">
      <c r="A353" s="12"/>
      <c r="B353" s="13" t="s">
        <v>445</v>
      </c>
      <c r="C353" s="12"/>
      <c r="D353" s="13" t="s">
        <v>668</v>
      </c>
      <c r="E353" s="14">
        <v>40.0</v>
      </c>
      <c r="F353" s="15"/>
      <c r="G353" s="16" t="s">
        <v>582</v>
      </c>
      <c r="H353" s="12" t="b">
        <v>0</v>
      </c>
      <c r="I353" s="28"/>
      <c r="J353" s="12" t="b">
        <v>0</v>
      </c>
    </row>
    <row r="354">
      <c r="A354" s="12"/>
      <c r="B354" s="13" t="s">
        <v>23</v>
      </c>
      <c r="C354" s="12"/>
      <c r="D354" s="13" t="s">
        <v>669</v>
      </c>
      <c r="E354" s="14">
        <v>2400.0</v>
      </c>
      <c r="F354" s="15"/>
      <c r="G354" s="16" t="s">
        <v>670</v>
      </c>
      <c r="H354" s="12" t="b">
        <v>0</v>
      </c>
      <c r="I354" s="28"/>
      <c r="J354" s="12" t="b">
        <v>0</v>
      </c>
    </row>
    <row r="355">
      <c r="A355" s="12"/>
      <c r="B355" s="13" t="s">
        <v>23</v>
      </c>
      <c r="C355" s="12"/>
      <c r="D355" s="13" t="s">
        <v>671</v>
      </c>
      <c r="E355" s="14">
        <v>1100.0</v>
      </c>
      <c r="F355" s="15"/>
      <c r="G355" s="16" t="s">
        <v>670</v>
      </c>
      <c r="H355" s="12" t="b">
        <v>0</v>
      </c>
      <c r="I355" s="28"/>
      <c r="J355" s="12" t="b">
        <v>0</v>
      </c>
    </row>
    <row r="356">
      <c r="A356" s="12"/>
      <c r="B356" s="13" t="s">
        <v>23</v>
      </c>
      <c r="C356" s="12"/>
      <c r="D356" s="13" t="s">
        <v>672</v>
      </c>
      <c r="E356" s="14">
        <v>800.0</v>
      </c>
      <c r="F356" s="15"/>
      <c r="G356" s="26"/>
      <c r="H356" s="12" t="b">
        <v>0</v>
      </c>
      <c r="I356" s="28"/>
      <c r="J356" s="12" t="b">
        <v>0</v>
      </c>
    </row>
    <row r="357">
      <c r="A357" s="12"/>
      <c r="B357" s="13" t="s">
        <v>281</v>
      </c>
      <c r="C357" s="12"/>
      <c r="D357" s="13" t="s">
        <v>673</v>
      </c>
      <c r="E357" s="14">
        <v>500.0</v>
      </c>
      <c r="F357" s="15"/>
      <c r="G357" s="26"/>
      <c r="H357" s="12" t="b">
        <v>0</v>
      </c>
      <c r="I357" s="28"/>
      <c r="J357" s="12" t="b">
        <v>0</v>
      </c>
    </row>
    <row r="358">
      <c r="A358" s="12"/>
      <c r="B358" s="13" t="s">
        <v>445</v>
      </c>
      <c r="C358" s="12"/>
      <c r="D358" s="13" t="s">
        <v>674</v>
      </c>
      <c r="E358" s="14">
        <v>450.0</v>
      </c>
      <c r="F358" s="15"/>
      <c r="G358" s="26"/>
      <c r="H358" s="12" t="b">
        <v>0</v>
      </c>
      <c r="I358" s="28"/>
      <c r="J358" s="12" t="b">
        <v>0</v>
      </c>
    </row>
    <row r="359">
      <c r="A359" s="12"/>
      <c r="B359" s="13" t="s">
        <v>445</v>
      </c>
      <c r="C359" s="12"/>
      <c r="D359" s="13" t="s">
        <v>675</v>
      </c>
      <c r="E359" s="14">
        <v>350.0</v>
      </c>
      <c r="F359" s="15"/>
      <c r="G359" s="26"/>
      <c r="H359" s="12" t="b">
        <v>0</v>
      </c>
      <c r="I359" s="28"/>
      <c r="J359" s="12" t="b">
        <v>0</v>
      </c>
    </row>
    <row r="360">
      <c r="A360" s="12"/>
      <c r="B360" s="13" t="s">
        <v>445</v>
      </c>
      <c r="C360" s="12"/>
      <c r="D360" s="13" t="s">
        <v>676</v>
      </c>
      <c r="E360" s="14">
        <v>300.0</v>
      </c>
      <c r="F360" s="15"/>
      <c r="G360" s="26"/>
      <c r="H360" s="12" t="b">
        <v>0</v>
      </c>
      <c r="I360" s="28"/>
      <c r="J360" s="12" t="b">
        <v>0</v>
      </c>
    </row>
    <row r="361">
      <c r="A361" s="12"/>
      <c r="B361" s="13" t="s">
        <v>445</v>
      </c>
      <c r="C361" s="12"/>
      <c r="D361" s="13" t="s">
        <v>677</v>
      </c>
      <c r="E361" s="14">
        <v>350.0</v>
      </c>
      <c r="F361" s="15"/>
      <c r="G361" s="26"/>
      <c r="H361" s="12" t="b">
        <v>0</v>
      </c>
      <c r="I361" s="28"/>
      <c r="J361" s="12" t="b">
        <v>0</v>
      </c>
    </row>
    <row r="362">
      <c r="A362" s="12"/>
      <c r="B362" s="13" t="s">
        <v>445</v>
      </c>
      <c r="C362" s="12"/>
      <c r="D362" s="13" t="s">
        <v>678</v>
      </c>
      <c r="E362" s="14">
        <v>300.0</v>
      </c>
      <c r="F362" s="15"/>
      <c r="G362" s="26"/>
      <c r="H362" s="12" t="b">
        <v>0</v>
      </c>
      <c r="I362" s="17" t="s">
        <v>679</v>
      </c>
      <c r="J362" s="12" t="b">
        <v>0</v>
      </c>
    </row>
    <row r="363">
      <c r="A363" s="12"/>
      <c r="B363" s="13" t="s">
        <v>23</v>
      </c>
      <c r="C363" s="12"/>
      <c r="D363" s="13" t="s">
        <v>680</v>
      </c>
      <c r="E363" s="14">
        <v>1000.0</v>
      </c>
      <c r="F363" s="15"/>
      <c r="G363" s="16" t="s">
        <v>681</v>
      </c>
      <c r="H363" s="12" t="b">
        <v>0</v>
      </c>
      <c r="I363" s="17" t="s">
        <v>682</v>
      </c>
      <c r="J363" s="12" t="b">
        <v>0</v>
      </c>
    </row>
    <row r="364">
      <c r="A364" s="12"/>
      <c r="B364" s="13" t="s">
        <v>23</v>
      </c>
      <c r="C364" s="12"/>
      <c r="D364" s="13" t="s">
        <v>683</v>
      </c>
      <c r="E364" s="14">
        <v>800.0</v>
      </c>
      <c r="F364" s="15"/>
      <c r="G364" s="16" t="s">
        <v>684</v>
      </c>
      <c r="H364" s="12" t="b">
        <v>0</v>
      </c>
      <c r="I364" s="17" t="s">
        <v>685</v>
      </c>
      <c r="J364" s="12" t="b">
        <v>0</v>
      </c>
    </row>
    <row r="365">
      <c r="A365" s="12"/>
      <c r="B365" s="13" t="s">
        <v>281</v>
      </c>
      <c r="C365" s="12"/>
      <c r="D365" s="13" t="s">
        <v>686</v>
      </c>
      <c r="E365" s="14">
        <v>850.0</v>
      </c>
      <c r="F365" s="15"/>
      <c r="G365" s="16" t="s">
        <v>687</v>
      </c>
      <c r="H365" s="12" t="b">
        <v>0</v>
      </c>
      <c r="I365" s="17" t="s">
        <v>688</v>
      </c>
      <c r="J365" s="12" t="b">
        <v>0</v>
      </c>
    </row>
    <row r="366">
      <c r="A366" s="12"/>
      <c r="B366" s="13" t="s">
        <v>445</v>
      </c>
      <c r="C366" s="12"/>
      <c r="D366" s="13" t="s">
        <v>689</v>
      </c>
      <c r="E366" s="14">
        <v>650.0</v>
      </c>
      <c r="F366" s="15"/>
      <c r="G366" s="16" t="s">
        <v>684</v>
      </c>
      <c r="H366" s="12" t="b">
        <v>0</v>
      </c>
      <c r="I366" s="28"/>
      <c r="J366" s="12" t="b">
        <v>0</v>
      </c>
    </row>
    <row r="367">
      <c r="A367" s="12"/>
      <c r="B367" s="13" t="s">
        <v>184</v>
      </c>
      <c r="C367" s="12"/>
      <c r="D367" s="13" t="s">
        <v>690</v>
      </c>
      <c r="E367" s="78"/>
      <c r="F367" s="15"/>
      <c r="G367" s="16" t="s">
        <v>684</v>
      </c>
      <c r="H367" s="12" t="b">
        <v>0</v>
      </c>
      <c r="I367" s="28"/>
      <c r="J367" s="12" t="b">
        <v>0</v>
      </c>
    </row>
    <row r="368">
      <c r="A368" s="12"/>
      <c r="B368" s="12"/>
      <c r="C368" s="12"/>
      <c r="D368" s="13" t="s">
        <v>691</v>
      </c>
      <c r="E368" s="14">
        <v>1600.0</v>
      </c>
      <c r="F368" s="15"/>
      <c r="G368" s="16" t="s">
        <v>692</v>
      </c>
      <c r="H368" s="12" t="b">
        <v>0</v>
      </c>
      <c r="I368" s="28"/>
      <c r="J368" s="12" t="b">
        <v>0</v>
      </c>
    </row>
    <row r="369">
      <c r="A369" s="12"/>
      <c r="B369" s="12"/>
      <c r="C369" s="12"/>
      <c r="D369" s="13" t="s">
        <v>693</v>
      </c>
      <c r="E369" s="14">
        <v>360.0</v>
      </c>
      <c r="F369" s="15"/>
      <c r="G369" s="16" t="s">
        <v>692</v>
      </c>
      <c r="H369" s="12" t="b">
        <v>0</v>
      </c>
      <c r="I369" s="28"/>
      <c r="J369" s="12" t="b">
        <v>0</v>
      </c>
    </row>
    <row r="370">
      <c r="A370" s="12"/>
      <c r="B370" s="12"/>
      <c r="C370" s="12"/>
      <c r="D370" s="13" t="s">
        <v>694</v>
      </c>
      <c r="E370" s="78"/>
      <c r="F370" s="15"/>
      <c r="G370" s="16" t="s">
        <v>687</v>
      </c>
      <c r="H370" s="12" t="b">
        <v>0</v>
      </c>
      <c r="I370" s="28"/>
      <c r="J370" s="12" t="b">
        <v>0</v>
      </c>
    </row>
    <row r="371">
      <c r="A371" s="12"/>
      <c r="B371" s="12"/>
      <c r="C371" s="12"/>
      <c r="D371" s="13" t="s">
        <v>695</v>
      </c>
      <c r="E371" s="14">
        <v>3200.0</v>
      </c>
      <c r="F371" s="15"/>
      <c r="G371" s="26"/>
      <c r="H371" s="12" t="b">
        <v>0</v>
      </c>
      <c r="I371" s="28"/>
      <c r="J371" s="12" t="b">
        <v>0</v>
      </c>
    </row>
    <row r="372">
      <c r="A372" s="12"/>
      <c r="B372" s="12"/>
      <c r="C372" s="12"/>
      <c r="D372" s="13" t="s">
        <v>696</v>
      </c>
      <c r="E372" s="14">
        <v>3500.0</v>
      </c>
      <c r="F372" s="15"/>
      <c r="G372" s="26"/>
      <c r="H372" s="12" t="b">
        <v>0</v>
      </c>
      <c r="I372" s="28"/>
      <c r="J372" s="12" t="b">
        <v>0</v>
      </c>
    </row>
    <row r="373">
      <c r="A373" s="12"/>
      <c r="B373" s="12"/>
      <c r="C373" s="12"/>
      <c r="D373" s="13" t="s">
        <v>697</v>
      </c>
      <c r="E373" s="14">
        <v>1250.0</v>
      </c>
      <c r="F373" s="15"/>
      <c r="G373" s="16" t="s">
        <v>698</v>
      </c>
      <c r="H373" s="12" t="b">
        <v>0</v>
      </c>
      <c r="I373" s="28"/>
      <c r="J373" s="12" t="b">
        <v>0</v>
      </c>
    </row>
    <row r="374">
      <c r="A374" s="12"/>
      <c r="B374" s="12"/>
      <c r="C374" s="12"/>
      <c r="D374" s="13" t="s">
        <v>699</v>
      </c>
      <c r="E374" s="14">
        <v>3300.0</v>
      </c>
      <c r="F374" s="15"/>
      <c r="G374" s="16" t="s">
        <v>698</v>
      </c>
      <c r="H374" s="12" t="b">
        <v>0</v>
      </c>
      <c r="I374" s="28"/>
      <c r="J374" s="12" t="b">
        <v>0</v>
      </c>
    </row>
    <row r="375">
      <c r="A375" s="12"/>
      <c r="B375" s="12"/>
      <c r="C375" s="12"/>
      <c r="D375" s="13" t="s">
        <v>700</v>
      </c>
      <c r="E375" s="14">
        <v>2400.0</v>
      </c>
      <c r="F375" s="15"/>
      <c r="G375" s="16" t="s">
        <v>698</v>
      </c>
      <c r="H375" s="12" t="b">
        <v>0</v>
      </c>
      <c r="I375" s="28"/>
      <c r="J375" s="12" t="b">
        <v>0</v>
      </c>
    </row>
    <row r="376">
      <c r="A376" s="12"/>
      <c r="B376" s="12"/>
      <c r="C376" s="12"/>
      <c r="D376" s="13" t="s">
        <v>701</v>
      </c>
      <c r="E376" s="14">
        <v>2000.0</v>
      </c>
      <c r="F376" s="15"/>
      <c r="G376" s="26"/>
      <c r="H376" s="12" t="b">
        <v>0</v>
      </c>
      <c r="I376" s="28"/>
      <c r="J376" s="12" t="b">
        <v>0</v>
      </c>
    </row>
    <row r="377">
      <c r="A377" s="12"/>
      <c r="B377" s="12"/>
      <c r="C377" s="12"/>
      <c r="D377" s="13" t="s">
        <v>702</v>
      </c>
      <c r="E377" s="14">
        <v>1200.0</v>
      </c>
      <c r="F377" s="15"/>
      <c r="G377" s="16" t="s">
        <v>639</v>
      </c>
      <c r="H377" s="12" t="b">
        <v>0</v>
      </c>
      <c r="I377" s="28"/>
      <c r="J377" s="12" t="b">
        <v>0</v>
      </c>
    </row>
    <row r="378">
      <c r="A378" s="12"/>
      <c r="B378" s="12"/>
      <c r="C378" s="12"/>
      <c r="D378" s="13" t="s">
        <v>703</v>
      </c>
      <c r="E378" s="14">
        <v>1200.0</v>
      </c>
      <c r="F378" s="15"/>
      <c r="G378" s="26"/>
      <c r="H378" s="12" t="b">
        <v>0</v>
      </c>
      <c r="I378" s="28"/>
      <c r="J378" s="12" t="b">
        <v>0</v>
      </c>
    </row>
    <row r="379">
      <c r="A379" s="12"/>
      <c r="B379" s="12"/>
      <c r="C379" s="12"/>
      <c r="D379" s="13" t="s">
        <v>704</v>
      </c>
      <c r="E379" s="14">
        <v>2100.0</v>
      </c>
      <c r="F379" s="15"/>
      <c r="G379" s="26"/>
      <c r="H379" s="12" t="b">
        <v>0</v>
      </c>
      <c r="I379" s="28"/>
      <c r="J379" s="12" t="b">
        <v>0</v>
      </c>
    </row>
    <row r="380">
      <c r="A380" s="12"/>
      <c r="B380" s="12"/>
      <c r="C380" s="12"/>
      <c r="D380" s="13" t="s">
        <v>705</v>
      </c>
      <c r="E380" s="14">
        <v>350.0</v>
      </c>
      <c r="F380" s="15"/>
      <c r="G380" s="26"/>
      <c r="H380" s="12" t="b">
        <v>0</v>
      </c>
      <c r="I380" s="28"/>
      <c r="J380" s="12" t="b">
        <v>0</v>
      </c>
    </row>
    <row r="381">
      <c r="A381" s="12"/>
      <c r="B381" s="12"/>
      <c r="C381" s="12"/>
      <c r="D381" s="80" t="s">
        <v>706</v>
      </c>
      <c r="E381" s="14">
        <v>1450.0</v>
      </c>
      <c r="F381" s="15"/>
      <c r="G381" s="26"/>
      <c r="H381" s="12" t="b">
        <v>0</v>
      </c>
      <c r="I381" s="28"/>
      <c r="J381" s="12" t="b">
        <v>0</v>
      </c>
    </row>
    <row r="382">
      <c r="A382" s="12"/>
      <c r="B382" s="12"/>
      <c r="C382" s="12"/>
      <c r="D382" s="13" t="s">
        <v>707</v>
      </c>
      <c r="E382" s="14">
        <v>300.0</v>
      </c>
      <c r="F382" s="15"/>
      <c r="G382" s="26"/>
      <c r="H382" s="12" t="b">
        <v>0</v>
      </c>
      <c r="I382" s="28"/>
      <c r="J382" s="12" t="b">
        <v>0</v>
      </c>
    </row>
    <row r="383">
      <c r="A383" s="12"/>
      <c r="B383" s="12"/>
      <c r="C383" s="12"/>
      <c r="D383" s="13" t="s">
        <v>708</v>
      </c>
      <c r="E383" s="14">
        <v>250.0</v>
      </c>
      <c r="F383" s="15"/>
      <c r="G383" s="26"/>
      <c r="H383" s="12" t="b">
        <v>0</v>
      </c>
      <c r="I383" s="28"/>
      <c r="J383" s="12" t="b">
        <v>0</v>
      </c>
    </row>
    <row r="384">
      <c r="A384" s="12"/>
      <c r="B384" s="12"/>
      <c r="C384" s="12"/>
      <c r="D384" s="13" t="s">
        <v>709</v>
      </c>
      <c r="E384" s="14">
        <v>1500.0</v>
      </c>
      <c r="F384" s="15"/>
      <c r="G384" s="26"/>
      <c r="H384" s="12" t="b">
        <v>0</v>
      </c>
      <c r="I384" s="28"/>
      <c r="J384" s="12" t="b">
        <v>0</v>
      </c>
    </row>
    <row r="385">
      <c r="A385" s="12"/>
      <c r="B385" s="12"/>
      <c r="C385" s="12"/>
      <c r="D385" s="13" t="s">
        <v>710</v>
      </c>
      <c r="E385" s="14">
        <v>980.0</v>
      </c>
      <c r="F385" s="15"/>
      <c r="G385" s="26"/>
      <c r="H385" s="12" t="b">
        <v>0</v>
      </c>
      <c r="I385" s="28"/>
      <c r="J385" s="12" t="b">
        <v>0</v>
      </c>
    </row>
    <row r="386">
      <c r="A386" s="12"/>
      <c r="B386" s="12"/>
      <c r="C386" s="12"/>
      <c r="D386" s="13" t="s">
        <v>711</v>
      </c>
      <c r="E386" s="14">
        <v>700.0</v>
      </c>
      <c r="F386" s="15"/>
      <c r="G386" s="26"/>
      <c r="H386" s="12" t="b">
        <v>0</v>
      </c>
      <c r="I386" s="28"/>
      <c r="J386" s="12" t="b">
        <v>0</v>
      </c>
    </row>
    <row r="387">
      <c r="A387" s="12"/>
      <c r="B387" s="12"/>
      <c r="C387" s="12"/>
      <c r="D387" s="13" t="s">
        <v>712</v>
      </c>
      <c r="E387" s="14">
        <v>3800.0</v>
      </c>
      <c r="F387" s="15"/>
      <c r="G387" s="26"/>
      <c r="H387" s="12" t="b">
        <v>0</v>
      </c>
      <c r="I387" s="28"/>
      <c r="J387" s="12" t="b">
        <v>0</v>
      </c>
    </row>
    <row r="388">
      <c r="A388" s="12"/>
      <c r="B388" s="12"/>
      <c r="C388" s="12"/>
      <c r="D388" s="13" t="s">
        <v>713</v>
      </c>
      <c r="E388" s="14">
        <v>500.0</v>
      </c>
      <c r="F388" s="15"/>
      <c r="G388" s="26"/>
      <c r="H388" s="12" t="b">
        <v>0</v>
      </c>
      <c r="I388" s="28"/>
      <c r="J388" s="12" t="b">
        <v>0</v>
      </c>
    </row>
    <row r="389">
      <c r="A389" s="12"/>
      <c r="B389" s="12"/>
      <c r="C389" s="12"/>
      <c r="D389" s="13" t="s">
        <v>714</v>
      </c>
      <c r="E389" s="14">
        <v>3100.0</v>
      </c>
      <c r="F389" s="15"/>
      <c r="G389" s="26"/>
      <c r="H389" s="12" t="b">
        <v>0</v>
      </c>
      <c r="I389" s="28"/>
      <c r="J389" s="12" t="b">
        <v>0</v>
      </c>
    </row>
    <row r="390">
      <c r="A390" s="12"/>
      <c r="B390" s="12"/>
      <c r="C390" s="12"/>
      <c r="D390" s="13" t="s">
        <v>715</v>
      </c>
      <c r="E390" s="14">
        <v>1000.0</v>
      </c>
      <c r="F390" s="15"/>
      <c r="G390" s="26"/>
      <c r="H390" s="12" t="b">
        <v>0</v>
      </c>
      <c r="I390" s="28"/>
      <c r="J390" s="12" t="b">
        <v>0</v>
      </c>
    </row>
    <row r="391">
      <c r="A391" s="12"/>
      <c r="B391" s="12"/>
      <c r="C391" s="12"/>
      <c r="D391" s="13" t="s">
        <v>716</v>
      </c>
      <c r="E391" s="14">
        <v>1400.0</v>
      </c>
      <c r="F391" s="15"/>
      <c r="G391" s="26"/>
      <c r="H391" s="12" t="b">
        <v>0</v>
      </c>
      <c r="I391" s="30" t="s">
        <v>717</v>
      </c>
      <c r="J391" s="12" t="b">
        <v>0</v>
      </c>
    </row>
    <row r="392">
      <c r="A392" s="81"/>
      <c r="B392" s="82" t="s">
        <v>229</v>
      </c>
      <c r="C392" s="81"/>
      <c r="D392" s="82" t="s">
        <v>718</v>
      </c>
      <c r="E392" s="83">
        <v>1000.0</v>
      </c>
      <c r="F392" s="84"/>
      <c r="G392" s="85" t="s">
        <v>719</v>
      </c>
      <c r="H392" s="12" t="b">
        <v>0</v>
      </c>
      <c r="I392" s="28"/>
      <c r="J392" s="12" t="b">
        <v>0</v>
      </c>
    </row>
    <row r="393">
      <c r="A393" s="81"/>
      <c r="B393" s="82" t="s">
        <v>720</v>
      </c>
      <c r="C393" s="81"/>
      <c r="D393" s="82" t="s">
        <v>721</v>
      </c>
      <c r="E393" s="83">
        <v>2500.0</v>
      </c>
      <c r="F393" s="84"/>
      <c r="G393" s="85" t="s">
        <v>719</v>
      </c>
      <c r="H393" s="12" t="b">
        <v>0</v>
      </c>
      <c r="I393" s="28"/>
      <c r="J393" s="12" t="b">
        <v>0</v>
      </c>
    </row>
    <row r="394">
      <c r="A394" s="81"/>
      <c r="B394" s="82" t="s">
        <v>218</v>
      </c>
      <c r="C394" s="81"/>
      <c r="D394" s="82" t="s">
        <v>722</v>
      </c>
      <c r="E394" s="83">
        <v>450.0</v>
      </c>
      <c r="F394" s="84"/>
      <c r="G394" s="85" t="s">
        <v>719</v>
      </c>
      <c r="H394" s="12" t="b">
        <v>0</v>
      </c>
      <c r="I394" s="86" t="s">
        <v>723</v>
      </c>
      <c r="J394" s="12" t="b">
        <v>0</v>
      </c>
    </row>
    <row r="395">
      <c r="A395" s="81"/>
      <c r="B395" s="82" t="s">
        <v>218</v>
      </c>
      <c r="C395" s="81"/>
      <c r="D395" s="82" t="s">
        <v>724</v>
      </c>
      <c r="E395" s="83">
        <v>110.0</v>
      </c>
      <c r="F395" s="84"/>
      <c r="G395" s="85" t="s">
        <v>719</v>
      </c>
      <c r="H395" s="12" t="b">
        <v>0</v>
      </c>
      <c r="I395" s="86" t="s">
        <v>723</v>
      </c>
      <c r="J395" s="12" t="b">
        <v>0</v>
      </c>
    </row>
    <row r="396">
      <c r="A396" s="81"/>
      <c r="B396" s="82" t="s">
        <v>218</v>
      </c>
      <c r="C396" s="81"/>
      <c r="D396" s="82" t="s">
        <v>725</v>
      </c>
      <c r="E396" s="83">
        <v>650.0</v>
      </c>
      <c r="F396" s="84"/>
      <c r="G396" s="85" t="s">
        <v>719</v>
      </c>
      <c r="H396" s="12" t="b">
        <v>0</v>
      </c>
      <c r="I396" s="86" t="s">
        <v>723</v>
      </c>
      <c r="J396" s="12" t="b">
        <v>0</v>
      </c>
    </row>
    <row r="397">
      <c r="A397" s="81"/>
      <c r="B397" s="82" t="s">
        <v>726</v>
      </c>
      <c r="C397" s="81"/>
      <c r="D397" s="82" t="s">
        <v>727</v>
      </c>
      <c r="E397" s="83">
        <v>120.0</v>
      </c>
      <c r="F397" s="84"/>
      <c r="G397" s="85" t="s">
        <v>719</v>
      </c>
      <c r="H397" s="12" t="b">
        <v>0</v>
      </c>
      <c r="I397" s="86" t="s">
        <v>723</v>
      </c>
      <c r="J397" s="12" t="b">
        <v>0</v>
      </c>
    </row>
    <row r="398">
      <c r="A398" s="81"/>
      <c r="B398" s="82" t="s">
        <v>728</v>
      </c>
      <c r="C398" s="81"/>
      <c r="D398" s="82" t="s">
        <v>729</v>
      </c>
      <c r="E398" s="83">
        <v>1400.0</v>
      </c>
      <c r="F398" s="84"/>
      <c r="G398" s="85" t="s">
        <v>719</v>
      </c>
      <c r="H398" s="12" t="b">
        <v>0</v>
      </c>
      <c r="I398" s="28"/>
      <c r="J398" s="12" t="b">
        <v>0</v>
      </c>
    </row>
    <row r="399">
      <c r="A399" s="81"/>
      <c r="B399" s="82" t="s">
        <v>728</v>
      </c>
      <c r="C399" s="81"/>
      <c r="D399" s="82" t="s">
        <v>730</v>
      </c>
      <c r="E399" s="83">
        <v>160.0</v>
      </c>
      <c r="F399" s="84"/>
      <c r="G399" s="85" t="s">
        <v>719</v>
      </c>
      <c r="H399" s="12" t="b">
        <v>0</v>
      </c>
      <c r="I399" s="28"/>
      <c r="J399" s="12" t="b">
        <v>0</v>
      </c>
    </row>
    <row r="400">
      <c r="A400" s="81"/>
      <c r="B400" s="82" t="s">
        <v>728</v>
      </c>
      <c r="C400" s="81"/>
      <c r="D400" s="82" t="s">
        <v>731</v>
      </c>
      <c r="E400" s="83">
        <v>250.0</v>
      </c>
      <c r="F400" s="84"/>
      <c r="G400" s="85" t="s">
        <v>719</v>
      </c>
      <c r="H400" s="12" t="b">
        <v>0</v>
      </c>
      <c r="I400" s="28"/>
      <c r="J400" s="12" t="b">
        <v>0</v>
      </c>
    </row>
    <row r="401">
      <c r="A401" s="81"/>
      <c r="B401" s="82" t="s">
        <v>157</v>
      </c>
      <c r="C401" s="81"/>
      <c r="D401" s="82" t="s">
        <v>732</v>
      </c>
      <c r="E401" s="83">
        <v>3500.0</v>
      </c>
      <c r="F401" s="84"/>
      <c r="G401" s="85" t="s">
        <v>719</v>
      </c>
      <c r="H401" s="12" t="b">
        <v>0</v>
      </c>
      <c r="I401" s="86" t="s">
        <v>733</v>
      </c>
      <c r="J401" s="12" t="b">
        <v>0</v>
      </c>
    </row>
    <row r="402">
      <c r="A402" s="81"/>
      <c r="B402" s="82" t="s">
        <v>157</v>
      </c>
      <c r="C402" s="82" t="s">
        <v>170</v>
      </c>
      <c r="D402" s="82" t="s">
        <v>734</v>
      </c>
      <c r="E402" s="83">
        <v>700.0</v>
      </c>
      <c r="F402" s="84"/>
      <c r="G402" s="85" t="s">
        <v>719</v>
      </c>
      <c r="H402" s="12" t="b">
        <v>0</v>
      </c>
      <c r="I402" s="86" t="s">
        <v>723</v>
      </c>
      <c r="J402" s="12" t="b">
        <v>0</v>
      </c>
    </row>
    <row r="403">
      <c r="A403" s="81"/>
      <c r="B403" s="82" t="s">
        <v>157</v>
      </c>
      <c r="C403" s="82" t="s">
        <v>735</v>
      </c>
      <c r="D403" s="82" t="s">
        <v>736</v>
      </c>
      <c r="E403" s="83">
        <v>110.0</v>
      </c>
      <c r="F403" s="84"/>
      <c r="G403" s="85" t="s">
        <v>719</v>
      </c>
      <c r="H403" s="12" t="b">
        <v>0</v>
      </c>
      <c r="I403" s="28"/>
      <c r="J403" s="12" t="b">
        <v>0</v>
      </c>
    </row>
    <row r="404">
      <c r="A404" s="81"/>
      <c r="B404" s="82" t="s">
        <v>157</v>
      </c>
      <c r="C404" s="82" t="s">
        <v>735</v>
      </c>
      <c r="D404" s="82" t="s">
        <v>737</v>
      </c>
      <c r="E404" s="83">
        <v>160.0</v>
      </c>
      <c r="F404" s="84"/>
      <c r="G404" s="85" t="s">
        <v>719</v>
      </c>
      <c r="H404" s="12" t="b">
        <v>0</v>
      </c>
      <c r="I404" s="28"/>
      <c r="J404" s="12" t="b">
        <v>0</v>
      </c>
    </row>
    <row r="405">
      <c r="A405" s="81"/>
      <c r="B405" s="82" t="s">
        <v>157</v>
      </c>
      <c r="C405" s="82" t="s">
        <v>735</v>
      </c>
      <c r="D405" s="82" t="s">
        <v>738</v>
      </c>
      <c r="E405" s="83">
        <v>100.0</v>
      </c>
      <c r="F405" s="84"/>
      <c r="G405" s="85" t="s">
        <v>719</v>
      </c>
      <c r="H405" s="12" t="b">
        <v>0</v>
      </c>
      <c r="I405" s="28"/>
      <c r="J405" s="12" t="b">
        <v>0</v>
      </c>
    </row>
    <row r="406">
      <c r="A406" s="81"/>
      <c r="B406" s="82" t="s">
        <v>157</v>
      </c>
      <c r="C406" s="82" t="s">
        <v>735</v>
      </c>
      <c r="D406" s="82" t="s">
        <v>739</v>
      </c>
      <c r="E406" s="83">
        <v>80.0</v>
      </c>
      <c r="F406" s="84"/>
      <c r="G406" s="85" t="s">
        <v>719</v>
      </c>
      <c r="H406" s="12" t="b">
        <v>0</v>
      </c>
      <c r="I406" s="28"/>
      <c r="J406" s="12" t="b">
        <v>0</v>
      </c>
    </row>
    <row r="407">
      <c r="A407" s="81"/>
      <c r="B407" s="82" t="s">
        <v>157</v>
      </c>
      <c r="C407" s="82" t="s">
        <v>735</v>
      </c>
      <c r="D407" s="82" t="s">
        <v>740</v>
      </c>
      <c r="E407" s="83">
        <v>120.0</v>
      </c>
      <c r="F407" s="84"/>
      <c r="G407" s="85" t="s">
        <v>719</v>
      </c>
      <c r="H407" s="12" t="b">
        <v>0</v>
      </c>
      <c r="I407" s="28"/>
      <c r="J407" s="12" t="b">
        <v>0</v>
      </c>
    </row>
    <row r="408">
      <c r="A408" s="81"/>
      <c r="B408" s="82" t="s">
        <v>157</v>
      </c>
      <c r="C408" s="82" t="s">
        <v>735</v>
      </c>
      <c r="D408" s="82" t="s">
        <v>741</v>
      </c>
      <c r="E408" s="83">
        <v>420.0</v>
      </c>
      <c r="F408" s="84"/>
      <c r="G408" s="85" t="s">
        <v>719</v>
      </c>
      <c r="H408" s="12" t="b">
        <v>0</v>
      </c>
      <c r="I408" s="28"/>
      <c r="J408" s="12" t="b">
        <v>0</v>
      </c>
    </row>
    <row r="409">
      <c r="A409" s="81"/>
      <c r="B409" s="82" t="s">
        <v>157</v>
      </c>
      <c r="C409" s="82" t="s">
        <v>735</v>
      </c>
      <c r="D409" s="82" t="s">
        <v>742</v>
      </c>
      <c r="E409" s="83">
        <v>320.0</v>
      </c>
      <c r="F409" s="84"/>
      <c r="G409" s="85" t="s">
        <v>719</v>
      </c>
      <c r="H409" s="12" t="b">
        <v>0</v>
      </c>
      <c r="I409" s="28"/>
      <c r="J409" s="12" t="b">
        <v>0</v>
      </c>
    </row>
    <row r="410">
      <c r="A410" s="81"/>
      <c r="B410" s="82" t="s">
        <v>281</v>
      </c>
      <c r="C410" s="81"/>
      <c r="D410" s="82" t="s">
        <v>743</v>
      </c>
      <c r="E410" s="83">
        <v>300.0</v>
      </c>
      <c r="F410" s="84"/>
      <c r="G410" s="85" t="s">
        <v>719</v>
      </c>
      <c r="H410" s="12" t="b">
        <v>0</v>
      </c>
      <c r="I410" s="28"/>
      <c r="J410" s="12" t="b">
        <v>0</v>
      </c>
    </row>
    <row r="411">
      <c r="A411" s="81"/>
      <c r="B411" s="81"/>
      <c r="C411" s="81"/>
      <c r="D411" s="82" t="s">
        <v>744</v>
      </c>
      <c r="E411" s="83">
        <v>1200.0</v>
      </c>
      <c r="F411" s="84"/>
      <c r="G411" s="85" t="s">
        <v>719</v>
      </c>
      <c r="H411" s="12" t="b">
        <v>0</v>
      </c>
      <c r="I411" s="86" t="s">
        <v>723</v>
      </c>
      <c r="J411" s="12" t="b">
        <v>0</v>
      </c>
    </row>
    <row r="412">
      <c r="A412" s="81"/>
      <c r="B412" s="82" t="s">
        <v>745</v>
      </c>
      <c r="C412" s="82" t="s">
        <v>29</v>
      </c>
      <c r="D412" s="82" t="s">
        <v>746</v>
      </c>
      <c r="E412" s="83">
        <v>1500.0</v>
      </c>
      <c r="F412" s="84"/>
      <c r="G412" s="85" t="s">
        <v>719</v>
      </c>
      <c r="H412" s="12" t="b">
        <v>0</v>
      </c>
      <c r="I412" s="28"/>
      <c r="J412" s="12" t="b">
        <v>0</v>
      </c>
    </row>
    <row r="413">
      <c r="A413" s="81"/>
      <c r="B413" s="82" t="s">
        <v>23</v>
      </c>
      <c r="C413" s="82" t="s">
        <v>38</v>
      </c>
      <c r="D413" s="82" t="s">
        <v>747</v>
      </c>
      <c r="E413" s="83">
        <v>750.0</v>
      </c>
      <c r="F413" s="84"/>
      <c r="G413" s="85" t="s">
        <v>719</v>
      </c>
      <c r="H413" s="12" t="b">
        <v>0</v>
      </c>
      <c r="I413" s="28"/>
      <c r="J413" s="12" t="b">
        <v>0</v>
      </c>
    </row>
    <row r="414">
      <c r="A414" s="81"/>
      <c r="B414" s="82" t="s">
        <v>748</v>
      </c>
      <c r="C414" s="81"/>
      <c r="D414" s="82" t="s">
        <v>749</v>
      </c>
      <c r="E414" s="83">
        <v>360.0</v>
      </c>
      <c r="F414" s="84"/>
      <c r="G414" s="85" t="s">
        <v>719</v>
      </c>
      <c r="H414" s="12" t="b">
        <v>0</v>
      </c>
      <c r="I414" s="28"/>
      <c r="J414" s="12" t="b">
        <v>0</v>
      </c>
    </row>
    <row r="415">
      <c r="A415" s="81"/>
      <c r="B415" s="82" t="s">
        <v>750</v>
      </c>
      <c r="C415" s="81"/>
      <c r="D415" s="82" t="s">
        <v>751</v>
      </c>
      <c r="E415" s="83">
        <v>120.0</v>
      </c>
      <c r="F415" s="84"/>
      <c r="G415" s="85" t="s">
        <v>719</v>
      </c>
      <c r="H415" s="12" t="b">
        <v>0</v>
      </c>
      <c r="I415" s="28"/>
      <c r="J415" s="12" t="b">
        <v>0</v>
      </c>
    </row>
    <row r="416">
      <c r="A416" s="81"/>
      <c r="B416" s="82" t="s">
        <v>750</v>
      </c>
      <c r="C416" s="81"/>
      <c r="D416" s="82" t="s">
        <v>752</v>
      </c>
      <c r="E416" s="83">
        <v>60.0</v>
      </c>
      <c r="F416" s="84"/>
      <c r="G416" s="85" t="s">
        <v>719</v>
      </c>
      <c r="H416" s="12" t="b">
        <v>0</v>
      </c>
      <c r="I416" s="28"/>
      <c r="J416" s="12" t="b">
        <v>0</v>
      </c>
    </row>
    <row r="417">
      <c r="A417" s="81"/>
      <c r="B417" s="81"/>
      <c r="C417" s="81"/>
      <c r="D417" s="82" t="s">
        <v>753</v>
      </c>
      <c r="E417" s="83">
        <v>200.0</v>
      </c>
      <c r="F417" s="84"/>
      <c r="G417" s="85" t="s">
        <v>719</v>
      </c>
      <c r="H417" s="12" t="b">
        <v>0</v>
      </c>
      <c r="I417" s="28"/>
      <c r="J417" s="12" t="b">
        <v>0</v>
      </c>
    </row>
    <row r="418">
      <c r="A418" s="81"/>
      <c r="B418" s="82" t="s">
        <v>754</v>
      </c>
      <c r="C418" s="82" t="s">
        <v>755</v>
      </c>
      <c r="D418" s="82" t="s">
        <v>756</v>
      </c>
      <c r="E418" s="83">
        <v>80.0</v>
      </c>
      <c r="F418" s="84"/>
      <c r="G418" s="85" t="s">
        <v>719</v>
      </c>
      <c r="H418" s="12" t="b">
        <v>0</v>
      </c>
      <c r="I418" s="28"/>
      <c r="J418" s="12" t="b">
        <v>0</v>
      </c>
    </row>
    <row r="419">
      <c r="A419" s="81"/>
      <c r="B419" s="82" t="s">
        <v>754</v>
      </c>
      <c r="C419" s="82" t="s">
        <v>755</v>
      </c>
      <c r="D419" s="82" t="s">
        <v>757</v>
      </c>
      <c r="E419" s="83">
        <v>25.0</v>
      </c>
      <c r="F419" s="84"/>
      <c r="G419" s="85" t="s">
        <v>719</v>
      </c>
      <c r="H419" s="12" t="b">
        <v>0</v>
      </c>
      <c r="I419" s="28"/>
      <c r="J419" s="12" t="b">
        <v>0</v>
      </c>
    </row>
    <row r="420">
      <c r="A420" s="81"/>
      <c r="B420" s="81"/>
      <c r="C420" s="81"/>
      <c r="D420" s="82" t="s">
        <v>758</v>
      </c>
      <c r="E420" s="83">
        <v>35.0</v>
      </c>
      <c r="F420" s="84"/>
      <c r="G420" s="85" t="s">
        <v>719</v>
      </c>
      <c r="H420" s="12" t="b">
        <v>0</v>
      </c>
      <c r="I420" s="28"/>
      <c r="J420" s="12" t="b">
        <v>0</v>
      </c>
    </row>
    <row r="421">
      <c r="A421" s="81"/>
      <c r="B421" s="82" t="s">
        <v>759</v>
      </c>
      <c r="C421" s="81"/>
      <c r="D421" s="82" t="s">
        <v>760</v>
      </c>
      <c r="E421" s="83">
        <v>85.0</v>
      </c>
      <c r="F421" s="84"/>
      <c r="G421" s="85" t="s">
        <v>719</v>
      </c>
      <c r="H421" s="12" t="b">
        <v>0</v>
      </c>
      <c r="I421" s="28"/>
      <c r="J421" s="12" t="b">
        <v>0</v>
      </c>
    </row>
    <row r="422">
      <c r="A422" s="81"/>
      <c r="B422" s="81"/>
      <c r="C422" s="81"/>
      <c r="D422" s="82" t="s">
        <v>761</v>
      </c>
      <c r="E422" s="83">
        <v>40.0</v>
      </c>
      <c r="F422" s="84"/>
      <c r="G422" s="85" t="s">
        <v>719</v>
      </c>
      <c r="H422" s="12" t="b">
        <v>0</v>
      </c>
      <c r="I422" s="86" t="s">
        <v>723</v>
      </c>
      <c r="J422" s="12" t="b">
        <v>0</v>
      </c>
    </row>
    <row r="423">
      <c r="A423" s="81"/>
      <c r="B423" s="82" t="s">
        <v>762</v>
      </c>
      <c r="C423" s="81"/>
      <c r="D423" s="82" t="s">
        <v>763</v>
      </c>
      <c r="E423" s="83">
        <v>40.0</v>
      </c>
      <c r="F423" s="84"/>
      <c r="G423" s="85" t="s">
        <v>719</v>
      </c>
      <c r="H423" s="12" t="b">
        <v>0</v>
      </c>
      <c r="I423" s="28"/>
      <c r="J423" s="12" t="b">
        <v>0</v>
      </c>
    </row>
    <row r="424">
      <c r="A424" s="81"/>
      <c r="B424" s="82" t="s">
        <v>764</v>
      </c>
      <c r="C424" s="81"/>
      <c r="D424" s="82" t="s">
        <v>765</v>
      </c>
      <c r="E424" s="83">
        <v>20.0</v>
      </c>
      <c r="F424" s="84"/>
      <c r="G424" s="85" t="s">
        <v>719</v>
      </c>
      <c r="H424" s="12" t="b">
        <v>0</v>
      </c>
      <c r="I424" s="28"/>
      <c r="J424" s="12" t="b">
        <v>0</v>
      </c>
    </row>
    <row r="425">
      <c r="A425" s="81"/>
      <c r="B425" s="82" t="s">
        <v>766</v>
      </c>
      <c r="C425" s="81"/>
      <c r="D425" s="82" t="s">
        <v>767</v>
      </c>
      <c r="E425" s="83">
        <v>25.0</v>
      </c>
      <c r="F425" s="84"/>
      <c r="G425" s="85" t="s">
        <v>719</v>
      </c>
      <c r="H425" s="12" t="b">
        <v>0</v>
      </c>
      <c r="I425" s="28"/>
      <c r="J425" s="12" t="b">
        <v>0</v>
      </c>
    </row>
    <row r="426">
      <c r="A426" s="81"/>
      <c r="B426" s="82" t="s">
        <v>768</v>
      </c>
      <c r="C426" s="81"/>
      <c r="D426" s="82" t="s">
        <v>769</v>
      </c>
      <c r="E426" s="83">
        <v>30.0</v>
      </c>
      <c r="F426" s="84"/>
      <c r="G426" s="85" t="s">
        <v>719</v>
      </c>
      <c r="H426" s="12" t="b">
        <v>0</v>
      </c>
      <c r="I426" s="28"/>
      <c r="J426" s="12" t="b">
        <v>0</v>
      </c>
    </row>
    <row r="427">
      <c r="A427" s="81"/>
      <c r="B427" s="82" t="s">
        <v>768</v>
      </c>
      <c r="C427" s="81"/>
      <c r="D427" s="82" t="s">
        <v>770</v>
      </c>
      <c r="E427" s="83">
        <v>30.0</v>
      </c>
      <c r="F427" s="84"/>
      <c r="G427" s="85" t="s">
        <v>719</v>
      </c>
      <c r="H427" s="12" t="b">
        <v>0</v>
      </c>
      <c r="I427" s="28"/>
      <c r="J427" s="12" t="b">
        <v>0</v>
      </c>
    </row>
    <row r="428">
      <c r="A428" s="81"/>
      <c r="B428" s="82" t="s">
        <v>768</v>
      </c>
      <c r="C428" s="81"/>
      <c r="D428" s="82" t="s">
        <v>771</v>
      </c>
      <c r="E428" s="83">
        <v>35.0</v>
      </c>
      <c r="F428" s="84"/>
      <c r="G428" s="85" t="s">
        <v>719</v>
      </c>
      <c r="H428" s="12" t="b">
        <v>0</v>
      </c>
      <c r="I428" s="28"/>
      <c r="J428" s="12" t="b">
        <v>0</v>
      </c>
    </row>
    <row r="429">
      <c r="A429" s="81"/>
      <c r="B429" s="82" t="s">
        <v>768</v>
      </c>
      <c r="C429" s="81"/>
      <c r="D429" s="82" t="s">
        <v>772</v>
      </c>
      <c r="E429" s="83">
        <v>15.0</v>
      </c>
      <c r="F429" s="84"/>
      <c r="G429" s="85" t="s">
        <v>719</v>
      </c>
      <c r="H429" s="12" t="b">
        <v>0</v>
      </c>
      <c r="I429" s="28"/>
      <c r="J429" s="12" t="b">
        <v>0</v>
      </c>
    </row>
    <row r="430">
      <c r="A430" s="81"/>
      <c r="B430" s="82" t="s">
        <v>768</v>
      </c>
      <c r="C430" s="81"/>
      <c r="D430" s="82" t="s">
        <v>773</v>
      </c>
      <c r="E430" s="83">
        <v>20.0</v>
      </c>
      <c r="F430" s="84"/>
      <c r="G430" s="85" t="s">
        <v>719</v>
      </c>
      <c r="H430" s="12" t="b">
        <v>0</v>
      </c>
      <c r="I430" s="28"/>
      <c r="J430" s="12" t="b">
        <v>0</v>
      </c>
    </row>
    <row r="431">
      <c r="A431" s="12"/>
      <c r="B431" s="12"/>
      <c r="C431" s="12"/>
      <c r="D431" s="13"/>
      <c r="E431" s="78"/>
      <c r="F431" s="15"/>
      <c r="G431" s="26"/>
      <c r="H431" s="12" t="b">
        <v>0</v>
      </c>
      <c r="I431" s="28"/>
      <c r="J431" s="12" t="b">
        <v>0</v>
      </c>
    </row>
    <row r="432">
      <c r="A432" s="12"/>
      <c r="B432" s="12"/>
      <c r="C432" s="12"/>
      <c r="D432" s="13"/>
      <c r="E432" s="78"/>
      <c r="F432" s="15"/>
      <c r="G432" s="26"/>
      <c r="H432" s="12" t="b">
        <v>0</v>
      </c>
      <c r="I432" s="28"/>
      <c r="J432" s="12" t="b">
        <v>0</v>
      </c>
    </row>
    <row r="433">
      <c r="A433" s="12"/>
      <c r="B433" s="12"/>
      <c r="C433" s="12"/>
      <c r="D433" s="13"/>
      <c r="E433" s="78"/>
      <c r="F433" s="15"/>
      <c r="G433" s="26"/>
      <c r="H433" s="12" t="b">
        <v>0</v>
      </c>
      <c r="I433" s="28"/>
      <c r="J433" s="12" t="b">
        <v>0</v>
      </c>
    </row>
    <row r="434">
      <c r="A434" s="12"/>
      <c r="B434" s="12"/>
      <c r="C434" s="12"/>
      <c r="D434" s="13"/>
      <c r="E434" s="78"/>
      <c r="F434" s="15"/>
      <c r="G434" s="26"/>
      <c r="H434" s="12" t="b">
        <v>0</v>
      </c>
      <c r="I434" s="28"/>
      <c r="J434" s="12" t="b">
        <v>0</v>
      </c>
    </row>
    <row r="435">
      <c r="A435" s="12"/>
      <c r="B435" s="12"/>
      <c r="C435" s="12"/>
      <c r="D435" s="13"/>
      <c r="E435" s="78"/>
      <c r="F435" s="15"/>
      <c r="G435" s="26"/>
      <c r="H435" s="12" t="b">
        <v>0</v>
      </c>
      <c r="I435" s="28"/>
      <c r="J435" s="12" t="b">
        <v>0</v>
      </c>
    </row>
    <row r="436">
      <c r="A436" s="12"/>
      <c r="B436" s="12"/>
      <c r="C436" s="12"/>
      <c r="D436" s="13"/>
      <c r="E436" s="78"/>
      <c r="F436" s="15"/>
      <c r="G436" s="26"/>
      <c r="H436" s="12" t="b">
        <v>0</v>
      </c>
      <c r="I436" s="28"/>
      <c r="J436" s="12" t="b">
        <v>0</v>
      </c>
    </row>
    <row r="437">
      <c r="A437" s="12"/>
      <c r="B437" s="12"/>
      <c r="C437" s="12"/>
      <c r="D437" s="13"/>
      <c r="E437" s="78"/>
      <c r="F437" s="15"/>
      <c r="G437" s="26"/>
      <c r="H437" s="12" t="b">
        <v>0</v>
      </c>
      <c r="I437" s="28"/>
      <c r="J437" s="12" t="b">
        <v>0</v>
      </c>
    </row>
    <row r="438">
      <c r="A438" s="12"/>
      <c r="B438" s="12"/>
      <c r="C438" s="12"/>
      <c r="D438" s="13"/>
      <c r="E438" s="78"/>
      <c r="F438" s="15"/>
      <c r="G438" s="26"/>
      <c r="H438" s="12" t="b">
        <v>0</v>
      </c>
      <c r="I438" s="28"/>
      <c r="J438" s="12" t="b">
        <v>0</v>
      </c>
    </row>
    <row r="439">
      <c r="A439" s="12"/>
      <c r="B439" s="12"/>
      <c r="C439" s="12"/>
      <c r="D439" s="13"/>
      <c r="E439" s="78"/>
      <c r="F439" s="15"/>
      <c r="G439" s="26"/>
      <c r="H439" s="12" t="b">
        <v>0</v>
      </c>
      <c r="I439" s="28"/>
      <c r="J439" s="12" t="b">
        <v>0</v>
      </c>
    </row>
    <row r="440">
      <c r="A440" s="12"/>
      <c r="B440" s="12"/>
      <c r="C440" s="12"/>
      <c r="D440" s="13"/>
      <c r="E440" s="78"/>
      <c r="F440" s="15"/>
      <c r="G440" s="26"/>
      <c r="H440" s="12" t="b">
        <v>0</v>
      </c>
      <c r="I440" s="28"/>
      <c r="J440" s="12" t="b">
        <v>0</v>
      </c>
    </row>
    <row r="441">
      <c r="A441" s="12"/>
      <c r="B441" s="12"/>
      <c r="C441" s="12"/>
      <c r="D441" s="13"/>
      <c r="E441" s="78"/>
      <c r="F441" s="15"/>
      <c r="G441" s="26"/>
      <c r="H441" s="12" t="b">
        <v>0</v>
      </c>
      <c r="I441" s="28"/>
      <c r="J441" s="12" t="b">
        <v>0</v>
      </c>
    </row>
    <row r="442">
      <c r="A442" s="12"/>
      <c r="B442" s="12"/>
      <c r="C442" s="12"/>
      <c r="D442" s="13"/>
      <c r="E442" s="78"/>
      <c r="F442" s="15"/>
      <c r="G442" s="26"/>
      <c r="H442" s="12" t="b">
        <v>0</v>
      </c>
      <c r="I442" s="28"/>
      <c r="J442" s="12" t="b">
        <v>0</v>
      </c>
    </row>
    <row r="443">
      <c r="A443" s="12"/>
      <c r="B443" s="12"/>
      <c r="C443" s="12"/>
      <c r="D443" s="13"/>
      <c r="E443" s="78"/>
      <c r="F443" s="15"/>
      <c r="G443" s="26"/>
      <c r="H443" s="12" t="b">
        <v>0</v>
      </c>
      <c r="I443" s="28"/>
      <c r="J443" s="12" t="b">
        <v>0</v>
      </c>
    </row>
    <row r="444">
      <c r="A444" s="12"/>
      <c r="B444" s="12"/>
      <c r="C444" s="12"/>
      <c r="D444" s="13"/>
      <c r="E444" s="78"/>
      <c r="F444" s="15"/>
      <c r="G444" s="26"/>
      <c r="H444" s="12" t="b">
        <v>0</v>
      </c>
      <c r="I444" s="28"/>
      <c r="J444" s="12" t="b">
        <v>0</v>
      </c>
    </row>
    <row r="445">
      <c r="A445" s="12"/>
      <c r="B445" s="12"/>
      <c r="C445" s="12"/>
      <c r="D445" s="13"/>
      <c r="E445" s="78"/>
      <c r="F445" s="15"/>
      <c r="G445" s="26"/>
      <c r="H445" s="12" t="b">
        <v>0</v>
      </c>
      <c r="I445" s="28"/>
      <c r="J445" s="12" t="b">
        <v>0</v>
      </c>
    </row>
    <row r="446">
      <c r="A446" s="12"/>
      <c r="B446" s="12"/>
      <c r="C446" s="12"/>
      <c r="D446" s="13"/>
      <c r="E446" s="78"/>
      <c r="F446" s="15"/>
      <c r="G446" s="26"/>
      <c r="H446" s="12" t="b">
        <v>0</v>
      </c>
      <c r="I446" s="28"/>
      <c r="J446" s="12" t="b">
        <v>0</v>
      </c>
    </row>
    <row r="447">
      <c r="A447" s="12"/>
      <c r="B447" s="12"/>
      <c r="C447" s="12"/>
      <c r="D447" s="13"/>
      <c r="E447" s="78"/>
      <c r="F447" s="15"/>
      <c r="G447" s="26"/>
      <c r="H447" s="12" t="b">
        <v>0</v>
      </c>
      <c r="I447" s="28"/>
      <c r="J447" s="12" t="b">
        <v>0</v>
      </c>
    </row>
    <row r="448">
      <c r="A448" s="12"/>
      <c r="B448" s="12"/>
      <c r="C448" s="12"/>
      <c r="D448" s="13"/>
      <c r="E448" s="78"/>
      <c r="F448" s="15"/>
      <c r="G448" s="26"/>
      <c r="H448" s="12" t="b">
        <v>0</v>
      </c>
      <c r="I448" s="28"/>
      <c r="J448" s="12" t="b">
        <v>0</v>
      </c>
    </row>
    <row r="449">
      <c r="A449" s="12"/>
      <c r="B449" s="12"/>
      <c r="C449" s="12"/>
      <c r="D449" s="13"/>
      <c r="E449" s="78"/>
      <c r="F449" s="15"/>
      <c r="G449" s="26"/>
      <c r="H449" s="12" t="b">
        <v>0</v>
      </c>
      <c r="I449" s="28"/>
      <c r="J449" s="12" t="b">
        <v>0</v>
      </c>
    </row>
    <row r="450">
      <c r="A450" s="12"/>
      <c r="B450" s="12"/>
      <c r="C450" s="12"/>
      <c r="D450" s="13"/>
      <c r="E450" s="78"/>
      <c r="F450" s="15"/>
      <c r="G450" s="26"/>
      <c r="H450" s="12" t="b">
        <v>0</v>
      </c>
      <c r="I450" s="28"/>
      <c r="J450" s="12" t="b">
        <v>0</v>
      </c>
    </row>
    <row r="451">
      <c r="A451" s="12"/>
      <c r="B451" s="12"/>
      <c r="C451" s="12"/>
      <c r="D451" s="13"/>
      <c r="E451" s="78"/>
      <c r="F451" s="15"/>
      <c r="G451" s="26"/>
      <c r="H451" s="12" t="b">
        <v>0</v>
      </c>
      <c r="I451" s="28"/>
      <c r="J451" s="12" t="b">
        <v>0</v>
      </c>
    </row>
    <row r="452">
      <c r="A452" s="12"/>
      <c r="B452" s="12"/>
      <c r="C452" s="12"/>
      <c r="D452" s="13"/>
      <c r="E452" s="78"/>
      <c r="F452" s="15"/>
      <c r="G452" s="26"/>
      <c r="H452" s="12" t="b">
        <v>0</v>
      </c>
      <c r="I452" s="28"/>
      <c r="J452" s="12" t="b">
        <v>0</v>
      </c>
    </row>
    <row r="453">
      <c r="A453" s="12"/>
      <c r="B453" s="12"/>
      <c r="C453" s="12"/>
      <c r="D453" s="13"/>
      <c r="E453" s="78"/>
      <c r="F453" s="15"/>
      <c r="G453" s="26"/>
      <c r="H453" s="12" t="b">
        <v>0</v>
      </c>
      <c r="I453" s="28"/>
      <c r="J453" s="12" t="b">
        <v>0</v>
      </c>
    </row>
    <row r="454">
      <c r="A454" s="12"/>
      <c r="B454" s="12"/>
      <c r="C454" s="12"/>
      <c r="D454" s="13"/>
      <c r="E454" s="78"/>
      <c r="F454" s="15"/>
      <c r="G454" s="26"/>
      <c r="H454" s="12" t="b">
        <v>0</v>
      </c>
      <c r="I454" s="28"/>
      <c r="J454" s="12" t="b">
        <v>0</v>
      </c>
    </row>
    <row r="455">
      <c r="A455" s="12"/>
      <c r="B455" s="12"/>
      <c r="C455" s="12"/>
      <c r="D455" s="13"/>
      <c r="E455" s="78"/>
      <c r="F455" s="15"/>
      <c r="G455" s="26"/>
      <c r="H455" s="12" t="b">
        <v>0</v>
      </c>
      <c r="I455" s="28"/>
      <c r="J455" s="12" t="b">
        <v>0</v>
      </c>
    </row>
    <row r="456">
      <c r="A456" s="12"/>
      <c r="B456" s="12"/>
      <c r="C456" s="12"/>
      <c r="D456" s="13"/>
      <c r="E456" s="78"/>
      <c r="F456" s="15"/>
      <c r="G456" s="26"/>
      <c r="H456" s="12" t="b">
        <v>0</v>
      </c>
      <c r="I456" s="28"/>
      <c r="J456" s="12" t="b">
        <v>0</v>
      </c>
    </row>
    <row r="457">
      <c r="A457" s="12"/>
      <c r="B457" s="12"/>
      <c r="C457" s="12"/>
      <c r="D457" s="13"/>
      <c r="E457" s="78"/>
      <c r="F457" s="15"/>
      <c r="G457" s="26"/>
      <c r="H457" s="12" t="b">
        <v>0</v>
      </c>
      <c r="I457" s="28"/>
      <c r="J457" s="12" t="b">
        <v>0</v>
      </c>
    </row>
    <row r="458">
      <c r="A458" s="12"/>
      <c r="B458" s="12"/>
      <c r="C458" s="12"/>
      <c r="D458" s="13"/>
      <c r="E458" s="78"/>
      <c r="F458" s="15"/>
      <c r="G458" s="26"/>
      <c r="H458" s="12" t="b">
        <v>0</v>
      </c>
      <c r="I458" s="28"/>
      <c r="J458" s="12" t="b">
        <v>0</v>
      </c>
    </row>
    <row r="459">
      <c r="A459" s="12"/>
      <c r="B459" s="12"/>
      <c r="C459" s="12"/>
      <c r="D459" s="13"/>
      <c r="E459" s="78"/>
      <c r="F459" s="15"/>
      <c r="G459" s="26"/>
      <c r="H459" s="12" t="b">
        <v>0</v>
      </c>
      <c r="I459" s="28"/>
      <c r="J459" s="12" t="b">
        <v>0</v>
      </c>
    </row>
    <row r="460">
      <c r="A460" s="12"/>
      <c r="B460" s="12"/>
      <c r="C460" s="12"/>
      <c r="D460" s="13"/>
      <c r="E460" s="78"/>
      <c r="F460" s="15"/>
      <c r="G460" s="26"/>
      <c r="H460" s="12" t="b">
        <v>0</v>
      </c>
      <c r="I460" s="28"/>
      <c r="J460" s="12" t="b">
        <v>0</v>
      </c>
    </row>
    <row r="461">
      <c r="A461" s="12"/>
      <c r="B461" s="12"/>
      <c r="C461" s="12"/>
      <c r="D461" s="13"/>
      <c r="E461" s="78"/>
      <c r="F461" s="15"/>
      <c r="G461" s="26"/>
      <c r="H461" s="12" t="b">
        <v>0</v>
      </c>
      <c r="I461" s="28"/>
      <c r="J461" s="12" t="b">
        <v>0</v>
      </c>
    </row>
    <row r="462">
      <c r="A462" s="12"/>
      <c r="B462" s="12"/>
      <c r="C462" s="12"/>
      <c r="D462" s="13"/>
      <c r="E462" s="78"/>
      <c r="F462" s="15"/>
      <c r="G462" s="26"/>
      <c r="H462" s="12" t="b">
        <v>0</v>
      </c>
      <c r="I462" s="28"/>
      <c r="J462" s="12" t="b">
        <v>0</v>
      </c>
    </row>
    <row r="463">
      <c r="A463" s="12"/>
      <c r="B463" s="12"/>
      <c r="C463" s="12"/>
      <c r="D463" s="13"/>
      <c r="E463" s="78"/>
      <c r="F463" s="15"/>
      <c r="G463" s="26"/>
      <c r="H463" s="12" t="b">
        <v>0</v>
      </c>
      <c r="I463" s="28"/>
      <c r="J463" s="12" t="b">
        <v>0</v>
      </c>
    </row>
    <row r="464">
      <c r="A464" s="12"/>
      <c r="B464" s="12"/>
      <c r="C464" s="12"/>
      <c r="D464" s="13"/>
      <c r="E464" s="78"/>
      <c r="F464" s="15"/>
      <c r="G464" s="26"/>
      <c r="H464" s="12" t="b">
        <v>0</v>
      </c>
      <c r="I464" s="28"/>
      <c r="J464" s="12" t="b">
        <v>0</v>
      </c>
    </row>
    <row r="465">
      <c r="A465" s="12"/>
      <c r="B465" s="12"/>
      <c r="C465" s="12"/>
      <c r="D465" s="13"/>
      <c r="E465" s="78"/>
      <c r="F465" s="15"/>
      <c r="G465" s="26"/>
      <c r="H465" s="12" t="b">
        <v>0</v>
      </c>
      <c r="I465" s="28"/>
      <c r="J465" s="12" t="b">
        <v>0</v>
      </c>
    </row>
    <row r="466">
      <c r="A466" s="12"/>
      <c r="B466" s="12"/>
      <c r="C466" s="12"/>
      <c r="D466" s="13"/>
      <c r="E466" s="78"/>
      <c r="F466" s="15"/>
      <c r="G466" s="26"/>
      <c r="H466" s="12" t="b">
        <v>0</v>
      </c>
      <c r="I466" s="28"/>
      <c r="J466" s="12" t="b">
        <v>0</v>
      </c>
    </row>
    <row r="467">
      <c r="A467" s="12"/>
      <c r="B467" s="12"/>
      <c r="C467" s="12"/>
      <c r="D467" s="13"/>
      <c r="E467" s="78"/>
      <c r="F467" s="15"/>
      <c r="G467" s="26"/>
      <c r="H467" s="12" t="b">
        <v>0</v>
      </c>
      <c r="I467" s="28"/>
      <c r="J467" s="12" t="b">
        <v>0</v>
      </c>
    </row>
    <row r="468">
      <c r="A468" s="12"/>
      <c r="B468" s="12"/>
      <c r="C468" s="12"/>
      <c r="D468" s="13"/>
      <c r="E468" s="78"/>
      <c r="F468" s="15"/>
      <c r="G468" s="26"/>
      <c r="H468" s="12" t="b">
        <v>0</v>
      </c>
      <c r="I468" s="28"/>
      <c r="J468" s="12" t="b">
        <v>0</v>
      </c>
    </row>
    <row r="469">
      <c r="A469" s="12"/>
      <c r="B469" s="12"/>
      <c r="C469" s="12"/>
      <c r="D469" s="13"/>
      <c r="E469" s="78"/>
      <c r="F469" s="15"/>
      <c r="G469" s="26"/>
      <c r="H469" s="12" t="b">
        <v>0</v>
      </c>
      <c r="I469" s="28"/>
      <c r="J469" s="12" t="b">
        <v>0</v>
      </c>
    </row>
    <row r="470">
      <c r="A470" s="12"/>
      <c r="B470" s="12"/>
      <c r="C470" s="12"/>
      <c r="D470" s="13"/>
      <c r="E470" s="78"/>
      <c r="F470" s="15"/>
      <c r="G470" s="26"/>
      <c r="H470" s="12" t="b">
        <v>0</v>
      </c>
      <c r="I470" s="28"/>
      <c r="J470" s="12" t="b">
        <v>0</v>
      </c>
    </row>
    <row r="471">
      <c r="A471" s="12"/>
      <c r="B471" s="12"/>
      <c r="C471" s="12"/>
      <c r="D471" s="13"/>
      <c r="E471" s="78"/>
      <c r="F471" s="15"/>
      <c r="G471" s="26"/>
      <c r="H471" s="12" t="b">
        <v>0</v>
      </c>
      <c r="I471" s="28"/>
      <c r="J471" s="12" t="b">
        <v>0</v>
      </c>
    </row>
    <row r="472">
      <c r="A472" s="12"/>
      <c r="B472" s="12"/>
      <c r="C472" s="12"/>
      <c r="D472" s="13"/>
      <c r="E472" s="78"/>
      <c r="F472" s="15"/>
      <c r="G472" s="26"/>
      <c r="H472" s="12" t="b">
        <v>0</v>
      </c>
      <c r="I472" s="28"/>
      <c r="J472" s="12" t="b">
        <v>0</v>
      </c>
    </row>
    <row r="473">
      <c r="A473" s="12"/>
      <c r="B473" s="12"/>
      <c r="C473" s="12"/>
      <c r="D473" s="13"/>
      <c r="E473" s="78"/>
      <c r="F473" s="15"/>
      <c r="G473" s="26"/>
      <c r="H473" s="12" t="b">
        <v>0</v>
      </c>
      <c r="I473" s="28"/>
      <c r="J473" s="12" t="b">
        <v>0</v>
      </c>
    </row>
    <row r="474">
      <c r="A474" s="12"/>
      <c r="B474" s="12"/>
      <c r="C474" s="12"/>
      <c r="D474" s="13"/>
      <c r="E474" s="78"/>
      <c r="F474" s="15"/>
      <c r="G474" s="26"/>
      <c r="H474" s="12" t="b">
        <v>0</v>
      </c>
      <c r="I474" s="28"/>
      <c r="J474" s="12" t="b">
        <v>0</v>
      </c>
    </row>
    <row r="475">
      <c r="A475" s="12"/>
      <c r="B475" s="12"/>
      <c r="C475" s="12"/>
      <c r="D475" s="13"/>
      <c r="E475" s="78"/>
      <c r="F475" s="15"/>
      <c r="G475" s="26"/>
      <c r="H475" s="12" t="b">
        <v>0</v>
      </c>
      <c r="I475" s="28"/>
      <c r="J475" s="12" t="b">
        <v>0</v>
      </c>
    </row>
    <row r="476">
      <c r="A476" s="12"/>
      <c r="B476" s="12"/>
      <c r="C476" s="12"/>
      <c r="D476" s="13"/>
      <c r="E476" s="78"/>
      <c r="F476" s="15"/>
      <c r="G476" s="26"/>
      <c r="H476" s="12" t="b">
        <v>0</v>
      </c>
      <c r="I476" s="28"/>
      <c r="J476" s="12" t="b">
        <v>0</v>
      </c>
    </row>
    <row r="477">
      <c r="A477" s="12"/>
      <c r="B477" s="12"/>
      <c r="C477" s="12"/>
      <c r="D477" s="13"/>
      <c r="E477" s="78"/>
      <c r="F477" s="15"/>
      <c r="G477" s="26"/>
      <c r="H477" s="12" t="b">
        <v>0</v>
      </c>
      <c r="I477" s="28"/>
      <c r="J477" s="12" t="b">
        <v>0</v>
      </c>
    </row>
    <row r="478">
      <c r="A478" s="12"/>
      <c r="B478" s="12"/>
      <c r="C478" s="12"/>
      <c r="D478" s="13"/>
      <c r="E478" s="78"/>
      <c r="F478" s="15"/>
      <c r="G478" s="26"/>
      <c r="H478" s="12" t="b">
        <v>0</v>
      </c>
      <c r="I478" s="28"/>
      <c r="J478" s="12" t="b">
        <v>0</v>
      </c>
    </row>
    <row r="479">
      <c r="A479" s="12"/>
      <c r="B479" s="12"/>
      <c r="C479" s="12"/>
      <c r="D479" s="13"/>
      <c r="E479" s="78"/>
      <c r="F479" s="15"/>
      <c r="G479" s="26"/>
      <c r="H479" s="12" t="b">
        <v>0</v>
      </c>
      <c r="I479" s="28"/>
      <c r="J479" s="12" t="b">
        <v>0</v>
      </c>
    </row>
    <row r="480">
      <c r="A480" s="12"/>
      <c r="B480" s="12"/>
      <c r="C480" s="12"/>
      <c r="D480" s="13"/>
      <c r="E480" s="78"/>
      <c r="F480" s="15"/>
      <c r="G480" s="26"/>
      <c r="H480" s="12" t="b">
        <v>0</v>
      </c>
      <c r="I480" s="28"/>
      <c r="J480" s="12" t="b">
        <v>0</v>
      </c>
    </row>
    <row r="481">
      <c r="A481" s="12"/>
      <c r="B481" s="12"/>
      <c r="C481" s="12"/>
      <c r="D481" s="13"/>
      <c r="E481" s="78"/>
      <c r="F481" s="15"/>
      <c r="G481" s="26"/>
      <c r="H481" s="12" t="b">
        <v>0</v>
      </c>
      <c r="I481" s="28"/>
      <c r="J481" s="12" t="b">
        <v>0</v>
      </c>
    </row>
    <row r="482">
      <c r="A482" s="12"/>
      <c r="B482" s="12"/>
      <c r="C482" s="12"/>
      <c r="D482" s="13"/>
      <c r="E482" s="78"/>
      <c r="F482" s="15"/>
      <c r="G482" s="26"/>
      <c r="H482" s="12" t="b">
        <v>0</v>
      </c>
      <c r="I482" s="28"/>
      <c r="J482" s="12" t="b">
        <v>0</v>
      </c>
    </row>
    <row r="483">
      <c r="A483" s="12"/>
      <c r="B483" s="12"/>
      <c r="C483" s="12"/>
      <c r="D483" s="13"/>
      <c r="E483" s="78"/>
      <c r="F483" s="15"/>
      <c r="G483" s="26"/>
      <c r="H483" s="12" t="b">
        <v>0</v>
      </c>
      <c r="I483" s="28"/>
      <c r="J483" s="12" t="b">
        <v>0</v>
      </c>
    </row>
    <row r="484">
      <c r="A484" s="12"/>
      <c r="B484" s="12"/>
      <c r="C484" s="12"/>
      <c r="D484" s="13"/>
      <c r="E484" s="78"/>
      <c r="F484" s="15"/>
      <c r="G484" s="26"/>
      <c r="H484" s="12" t="b">
        <v>0</v>
      </c>
      <c r="I484" s="28"/>
      <c r="J484" s="12" t="b">
        <v>0</v>
      </c>
    </row>
    <row r="485">
      <c r="A485" s="12"/>
      <c r="B485" s="12"/>
      <c r="C485" s="12"/>
      <c r="D485" s="13"/>
      <c r="E485" s="78"/>
      <c r="F485" s="15"/>
      <c r="G485" s="26"/>
      <c r="H485" s="12" t="b">
        <v>0</v>
      </c>
      <c r="I485" s="28"/>
      <c r="J485" s="12" t="b">
        <v>0</v>
      </c>
    </row>
    <row r="486">
      <c r="A486" s="12"/>
      <c r="B486" s="12"/>
      <c r="C486" s="12"/>
      <c r="D486" s="13"/>
      <c r="E486" s="78"/>
      <c r="F486" s="15"/>
      <c r="G486" s="26"/>
      <c r="H486" s="12" t="b">
        <v>0</v>
      </c>
      <c r="I486" s="28"/>
      <c r="J486" s="12" t="b">
        <v>0</v>
      </c>
    </row>
    <row r="487">
      <c r="A487" s="12"/>
      <c r="B487" s="12"/>
      <c r="C487" s="12"/>
      <c r="D487" s="13"/>
      <c r="E487" s="78"/>
      <c r="F487" s="15"/>
      <c r="G487" s="26"/>
      <c r="H487" s="12" t="b">
        <v>0</v>
      </c>
      <c r="I487" s="28"/>
      <c r="J487" s="12" t="b">
        <v>0</v>
      </c>
    </row>
    <row r="488">
      <c r="A488" s="12"/>
      <c r="B488" s="12"/>
      <c r="C488" s="12"/>
      <c r="D488" s="13"/>
      <c r="E488" s="78"/>
      <c r="F488" s="15"/>
      <c r="G488" s="26"/>
      <c r="H488" s="12" t="b">
        <v>0</v>
      </c>
      <c r="I488" s="28"/>
      <c r="J488" s="12" t="b">
        <v>0</v>
      </c>
    </row>
    <row r="489">
      <c r="A489" s="12"/>
      <c r="B489" s="12"/>
      <c r="C489" s="12"/>
      <c r="D489" s="13"/>
      <c r="E489" s="78"/>
      <c r="F489" s="15"/>
      <c r="G489" s="26"/>
      <c r="H489" s="12" t="b">
        <v>0</v>
      </c>
      <c r="I489" s="28"/>
      <c r="J489" s="12" t="b">
        <v>0</v>
      </c>
    </row>
    <row r="490">
      <c r="A490" s="12"/>
      <c r="B490" s="12"/>
      <c r="C490" s="12"/>
      <c r="D490" s="13"/>
      <c r="E490" s="78"/>
      <c r="F490" s="15"/>
      <c r="G490" s="26"/>
      <c r="H490" s="12" t="b">
        <v>0</v>
      </c>
      <c r="I490" s="28"/>
      <c r="J490" s="12" t="b">
        <v>0</v>
      </c>
    </row>
    <row r="491">
      <c r="A491" s="12"/>
      <c r="B491" s="12"/>
      <c r="C491" s="12"/>
      <c r="D491" s="13"/>
      <c r="E491" s="78"/>
      <c r="F491" s="15"/>
      <c r="G491" s="26"/>
      <c r="H491" s="12" t="b">
        <v>0</v>
      </c>
      <c r="I491" s="28"/>
      <c r="J491" s="12" t="b">
        <v>0</v>
      </c>
    </row>
    <row r="492">
      <c r="A492" s="12"/>
      <c r="B492" s="12"/>
      <c r="C492" s="12"/>
      <c r="D492" s="13"/>
      <c r="E492" s="78"/>
      <c r="F492" s="15"/>
      <c r="G492" s="26"/>
      <c r="H492" s="12" t="b">
        <v>0</v>
      </c>
      <c r="I492" s="28"/>
      <c r="J492" s="12" t="b">
        <v>0</v>
      </c>
    </row>
    <row r="493">
      <c r="A493" s="12"/>
      <c r="B493" s="12"/>
      <c r="C493" s="12"/>
      <c r="D493" s="13"/>
      <c r="E493" s="78"/>
      <c r="F493" s="15"/>
      <c r="G493" s="26"/>
      <c r="H493" s="12" t="b">
        <v>0</v>
      </c>
      <c r="I493" s="28"/>
      <c r="J493" s="12" t="b">
        <v>0</v>
      </c>
    </row>
    <row r="494">
      <c r="A494" s="12"/>
      <c r="B494" s="12"/>
      <c r="C494" s="12"/>
      <c r="D494" s="13"/>
      <c r="E494" s="78"/>
      <c r="F494" s="15"/>
      <c r="G494" s="26"/>
      <c r="H494" s="12" t="b">
        <v>0</v>
      </c>
      <c r="I494" s="28"/>
      <c r="J494" s="12" t="b">
        <v>0</v>
      </c>
    </row>
    <row r="495">
      <c r="A495" s="12"/>
      <c r="B495" s="12"/>
      <c r="C495" s="12"/>
      <c r="D495" s="13"/>
      <c r="E495" s="78"/>
      <c r="F495" s="15"/>
      <c r="G495" s="26"/>
      <c r="H495" s="12" t="b">
        <v>0</v>
      </c>
      <c r="I495" s="28"/>
      <c r="J495" s="12" t="b">
        <v>0</v>
      </c>
    </row>
    <row r="496">
      <c r="A496" s="12"/>
      <c r="B496" s="12"/>
      <c r="C496" s="12"/>
      <c r="D496" s="13"/>
      <c r="E496" s="78"/>
      <c r="F496" s="15"/>
      <c r="G496" s="26"/>
      <c r="H496" s="12" t="b">
        <v>0</v>
      </c>
      <c r="I496" s="28"/>
      <c r="J496" s="12" t="b">
        <v>0</v>
      </c>
    </row>
    <row r="497">
      <c r="A497" s="12"/>
      <c r="B497" s="12"/>
      <c r="C497" s="12"/>
      <c r="D497" s="13"/>
      <c r="E497" s="78"/>
      <c r="F497" s="15"/>
      <c r="G497" s="26"/>
      <c r="H497" s="12" t="b">
        <v>0</v>
      </c>
      <c r="I497" s="28"/>
      <c r="J497" s="12" t="b">
        <v>0</v>
      </c>
    </row>
    <row r="498">
      <c r="A498" s="12"/>
      <c r="B498" s="12"/>
      <c r="C498" s="12"/>
      <c r="D498" s="13"/>
      <c r="E498" s="78"/>
      <c r="F498" s="15"/>
      <c r="G498" s="26"/>
      <c r="H498" s="12" t="b">
        <v>0</v>
      </c>
      <c r="I498" s="28"/>
      <c r="J498" s="12" t="b">
        <v>0</v>
      </c>
    </row>
    <row r="499">
      <c r="A499" s="12"/>
      <c r="B499" s="12"/>
      <c r="C499" s="12"/>
      <c r="D499" s="13"/>
      <c r="E499" s="78"/>
      <c r="F499" s="15"/>
      <c r="G499" s="26"/>
      <c r="H499" s="12" t="b">
        <v>0</v>
      </c>
      <c r="I499" s="28"/>
      <c r="J499" s="12" t="b">
        <v>0</v>
      </c>
    </row>
    <row r="500">
      <c r="A500" s="12"/>
      <c r="B500" s="12"/>
      <c r="C500" s="12"/>
      <c r="D500" s="13"/>
      <c r="E500" s="78"/>
      <c r="F500" s="15"/>
      <c r="G500" s="26"/>
      <c r="H500" s="12" t="b">
        <v>0</v>
      </c>
      <c r="I500" s="28"/>
      <c r="J500" s="12" t="b">
        <v>0</v>
      </c>
    </row>
    <row r="501">
      <c r="A501" s="12"/>
      <c r="B501" s="12"/>
      <c r="C501" s="12"/>
      <c r="D501" s="13"/>
      <c r="E501" s="78"/>
      <c r="F501" s="15"/>
      <c r="G501" s="26"/>
      <c r="H501" s="12" t="b">
        <v>0</v>
      </c>
      <c r="I501" s="28"/>
      <c r="J501" s="12" t="b">
        <v>0</v>
      </c>
    </row>
    <row r="502">
      <c r="A502" s="12"/>
      <c r="B502" s="12"/>
      <c r="C502" s="12"/>
      <c r="D502" s="13"/>
      <c r="E502" s="78"/>
      <c r="F502" s="15"/>
      <c r="G502" s="26"/>
      <c r="H502" s="12" t="b">
        <v>0</v>
      </c>
      <c r="I502" s="28"/>
      <c r="J502" s="12" t="b">
        <v>0</v>
      </c>
    </row>
    <row r="503">
      <c r="A503" s="12"/>
      <c r="B503" s="12"/>
      <c r="C503" s="12"/>
      <c r="D503" s="13"/>
      <c r="E503" s="78"/>
      <c r="F503" s="15"/>
      <c r="G503" s="26"/>
      <c r="H503" s="12" t="b">
        <v>0</v>
      </c>
      <c r="I503" s="28"/>
      <c r="J503" s="12" t="b">
        <v>0</v>
      </c>
    </row>
    <row r="504">
      <c r="A504" s="12"/>
      <c r="B504" s="12"/>
      <c r="C504" s="12"/>
      <c r="D504" s="13"/>
      <c r="E504" s="78"/>
      <c r="F504" s="15"/>
      <c r="G504" s="26"/>
      <c r="H504" s="12" t="b">
        <v>0</v>
      </c>
      <c r="I504" s="28"/>
      <c r="J504" s="12" t="b">
        <v>0</v>
      </c>
    </row>
    <row r="505">
      <c r="A505" s="12"/>
      <c r="B505" s="12"/>
      <c r="C505" s="12"/>
      <c r="D505" s="13"/>
      <c r="E505" s="78"/>
      <c r="F505" s="15"/>
      <c r="G505" s="26"/>
      <c r="H505" s="12" t="b">
        <v>0</v>
      </c>
      <c r="I505" s="28"/>
      <c r="J505" s="12" t="b">
        <v>0</v>
      </c>
    </row>
    <row r="506">
      <c r="A506" s="12"/>
      <c r="B506" s="12"/>
      <c r="C506" s="12"/>
      <c r="D506" s="13"/>
      <c r="E506" s="78"/>
      <c r="F506" s="15"/>
      <c r="G506" s="26"/>
      <c r="H506" s="12" t="b">
        <v>0</v>
      </c>
      <c r="I506" s="28"/>
      <c r="J506" s="12" t="b">
        <v>0</v>
      </c>
    </row>
    <row r="507">
      <c r="A507" s="12"/>
      <c r="B507" s="12"/>
      <c r="C507" s="12"/>
      <c r="D507" s="13"/>
      <c r="E507" s="78"/>
      <c r="F507" s="15"/>
      <c r="G507" s="26"/>
      <c r="H507" s="12" t="b">
        <v>0</v>
      </c>
      <c r="I507" s="28"/>
      <c r="J507" s="12" t="b">
        <v>0</v>
      </c>
    </row>
    <row r="508">
      <c r="A508" s="12"/>
      <c r="B508" s="12"/>
      <c r="C508" s="12"/>
      <c r="D508" s="13"/>
      <c r="E508" s="78"/>
      <c r="F508" s="15"/>
      <c r="G508" s="26"/>
      <c r="H508" s="12" t="b">
        <v>0</v>
      </c>
      <c r="I508" s="28"/>
      <c r="J508" s="12" t="b">
        <v>0</v>
      </c>
    </row>
    <row r="509">
      <c r="A509" s="12"/>
      <c r="B509" s="12"/>
      <c r="C509" s="12"/>
      <c r="D509" s="13"/>
      <c r="E509" s="78"/>
      <c r="F509" s="15"/>
      <c r="G509" s="26"/>
      <c r="H509" s="12" t="b">
        <v>0</v>
      </c>
      <c r="I509" s="28"/>
      <c r="J509" s="12" t="b">
        <v>0</v>
      </c>
    </row>
    <row r="510">
      <c r="A510" s="12"/>
      <c r="B510" s="12"/>
      <c r="C510" s="12"/>
      <c r="D510" s="13"/>
      <c r="E510" s="78"/>
      <c r="F510" s="15"/>
      <c r="G510" s="26"/>
      <c r="H510" s="12" t="b">
        <v>0</v>
      </c>
      <c r="I510" s="28"/>
      <c r="J510" s="12" t="b">
        <v>0</v>
      </c>
    </row>
    <row r="511">
      <c r="A511" s="12"/>
      <c r="B511" s="12"/>
      <c r="C511" s="12"/>
      <c r="D511" s="13"/>
      <c r="E511" s="78"/>
      <c r="F511" s="15"/>
      <c r="G511" s="26"/>
      <c r="H511" s="12" t="b">
        <v>0</v>
      </c>
      <c r="I511" s="28"/>
      <c r="J511" s="12" t="b">
        <v>0</v>
      </c>
    </row>
    <row r="512">
      <c r="A512" s="12"/>
      <c r="B512" s="12"/>
      <c r="C512" s="12"/>
      <c r="D512" s="13"/>
      <c r="E512" s="78"/>
      <c r="F512" s="15"/>
      <c r="G512" s="26"/>
      <c r="H512" s="12" t="b">
        <v>0</v>
      </c>
      <c r="I512" s="28"/>
      <c r="J512" s="12" t="b">
        <v>0</v>
      </c>
    </row>
    <row r="513">
      <c r="A513" s="12"/>
      <c r="B513" s="12"/>
      <c r="C513" s="12"/>
      <c r="D513" s="13"/>
      <c r="E513" s="78"/>
      <c r="F513" s="15"/>
      <c r="G513" s="26"/>
      <c r="H513" s="12" t="b">
        <v>0</v>
      </c>
      <c r="I513" s="28"/>
      <c r="J513" s="12" t="b">
        <v>0</v>
      </c>
    </row>
    <row r="514">
      <c r="A514" s="12"/>
      <c r="B514" s="12"/>
      <c r="C514" s="12"/>
      <c r="D514" s="13"/>
      <c r="E514" s="78"/>
      <c r="F514" s="15"/>
      <c r="G514" s="26"/>
      <c r="H514" s="12" t="b">
        <v>0</v>
      </c>
      <c r="I514" s="28"/>
      <c r="J514" s="12" t="b">
        <v>0</v>
      </c>
    </row>
    <row r="515">
      <c r="A515" s="12"/>
      <c r="B515" s="12"/>
      <c r="C515" s="12"/>
      <c r="D515" s="13"/>
      <c r="E515" s="78"/>
      <c r="F515" s="15"/>
      <c r="G515" s="26"/>
      <c r="H515" s="12" t="b">
        <v>0</v>
      </c>
      <c r="I515" s="28"/>
      <c r="J515" s="12" t="b">
        <v>0</v>
      </c>
    </row>
    <row r="516">
      <c r="A516" s="12"/>
      <c r="B516" s="12"/>
      <c r="C516" s="12"/>
      <c r="D516" s="13"/>
      <c r="E516" s="78"/>
      <c r="F516" s="15"/>
      <c r="G516" s="26"/>
      <c r="H516" s="12" t="b">
        <v>0</v>
      </c>
      <c r="I516" s="28"/>
      <c r="J516" s="12" t="b">
        <v>0</v>
      </c>
    </row>
    <row r="517">
      <c r="A517" s="12"/>
      <c r="B517" s="12"/>
      <c r="C517" s="12"/>
      <c r="D517" s="13"/>
      <c r="E517" s="78"/>
      <c r="F517" s="15"/>
      <c r="G517" s="26"/>
      <c r="H517" s="12" t="b">
        <v>0</v>
      </c>
      <c r="I517" s="28"/>
      <c r="J517" s="12" t="b">
        <v>0</v>
      </c>
    </row>
    <row r="518">
      <c r="A518" s="12"/>
      <c r="B518" s="12"/>
      <c r="C518" s="12"/>
      <c r="D518" s="13"/>
      <c r="E518" s="78"/>
      <c r="F518" s="15"/>
      <c r="G518" s="26"/>
      <c r="H518" s="12" t="b">
        <v>0</v>
      </c>
      <c r="I518" s="28"/>
      <c r="J518" s="12" t="b">
        <v>0</v>
      </c>
    </row>
    <row r="519">
      <c r="A519" s="12"/>
      <c r="B519" s="12"/>
      <c r="C519" s="12"/>
      <c r="D519" s="13"/>
      <c r="E519" s="78"/>
      <c r="F519" s="15"/>
      <c r="G519" s="26"/>
      <c r="H519" s="12" t="b">
        <v>0</v>
      </c>
      <c r="I519" s="28"/>
      <c r="J519" s="12" t="b">
        <v>0</v>
      </c>
    </row>
    <row r="520">
      <c r="A520" s="12"/>
      <c r="B520" s="12"/>
      <c r="C520" s="12"/>
      <c r="D520" s="13"/>
      <c r="E520" s="78"/>
      <c r="F520" s="15"/>
      <c r="G520" s="26"/>
      <c r="H520" s="12" t="b">
        <v>0</v>
      </c>
      <c r="I520" s="28"/>
      <c r="J520" s="12" t="b">
        <v>0</v>
      </c>
    </row>
    <row r="521">
      <c r="A521" s="12"/>
      <c r="B521" s="12"/>
      <c r="C521" s="12"/>
      <c r="D521" s="13"/>
      <c r="E521" s="78"/>
      <c r="F521" s="15"/>
      <c r="G521" s="26"/>
      <c r="H521" s="12" t="b">
        <v>0</v>
      </c>
      <c r="I521" s="28"/>
      <c r="J521" s="12" t="b">
        <v>0</v>
      </c>
    </row>
    <row r="522">
      <c r="A522" s="12"/>
      <c r="B522" s="12"/>
      <c r="C522" s="12"/>
      <c r="D522" s="13"/>
      <c r="E522" s="78"/>
      <c r="F522" s="15"/>
      <c r="G522" s="26"/>
      <c r="H522" s="12" t="b">
        <v>0</v>
      </c>
      <c r="I522" s="28"/>
      <c r="J522" s="12" t="b">
        <v>0</v>
      </c>
    </row>
    <row r="523">
      <c r="A523" s="12"/>
      <c r="B523" s="12"/>
      <c r="C523" s="12"/>
      <c r="D523" s="13"/>
      <c r="E523" s="78"/>
      <c r="F523" s="15"/>
      <c r="G523" s="26"/>
      <c r="H523" s="12" t="b">
        <v>0</v>
      </c>
      <c r="I523" s="28"/>
      <c r="J523" s="12" t="b">
        <v>0</v>
      </c>
    </row>
    <row r="524">
      <c r="A524" s="12"/>
      <c r="B524" s="12"/>
      <c r="C524" s="12"/>
      <c r="D524" s="13"/>
      <c r="E524" s="78"/>
      <c r="F524" s="15"/>
      <c r="G524" s="26"/>
      <c r="H524" s="12" t="b">
        <v>0</v>
      </c>
      <c r="I524" s="28"/>
      <c r="J524" s="12" t="b">
        <v>0</v>
      </c>
    </row>
    <row r="525">
      <c r="A525" s="12"/>
      <c r="B525" s="12"/>
      <c r="C525" s="12"/>
      <c r="D525" s="13"/>
      <c r="E525" s="78"/>
      <c r="F525" s="15"/>
      <c r="G525" s="26"/>
      <c r="H525" s="12" t="b">
        <v>0</v>
      </c>
      <c r="I525" s="28"/>
      <c r="J525" s="12" t="b">
        <v>0</v>
      </c>
    </row>
    <row r="526">
      <c r="A526" s="12"/>
      <c r="B526" s="12"/>
      <c r="C526" s="12"/>
      <c r="D526" s="13"/>
      <c r="E526" s="78"/>
      <c r="F526" s="15"/>
      <c r="G526" s="26"/>
      <c r="H526" s="12" t="b">
        <v>0</v>
      </c>
      <c r="I526" s="28"/>
      <c r="J526" s="12" t="b">
        <v>0</v>
      </c>
    </row>
    <row r="527">
      <c r="A527" s="12"/>
      <c r="B527" s="12"/>
      <c r="C527" s="12"/>
      <c r="D527" s="13"/>
      <c r="E527" s="78"/>
      <c r="F527" s="15"/>
      <c r="G527" s="26"/>
      <c r="H527" s="12" t="b">
        <v>0</v>
      </c>
      <c r="I527" s="28"/>
      <c r="J527" s="12" t="b">
        <v>0</v>
      </c>
    </row>
    <row r="528">
      <c r="A528" s="12"/>
      <c r="B528" s="12"/>
      <c r="C528" s="12"/>
      <c r="D528" s="13"/>
      <c r="E528" s="78"/>
      <c r="F528" s="15"/>
      <c r="G528" s="26"/>
      <c r="H528" s="12" t="b">
        <v>0</v>
      </c>
      <c r="I528" s="28"/>
      <c r="J528" s="12" t="b">
        <v>0</v>
      </c>
    </row>
    <row r="529">
      <c r="A529" s="12"/>
      <c r="B529" s="12"/>
      <c r="C529" s="12"/>
      <c r="D529" s="13"/>
      <c r="E529" s="78"/>
      <c r="F529" s="15"/>
      <c r="G529" s="26"/>
      <c r="H529" s="12" t="b">
        <v>0</v>
      </c>
      <c r="I529" s="28"/>
      <c r="J529" s="12" t="b">
        <v>0</v>
      </c>
    </row>
    <row r="530">
      <c r="A530" s="12"/>
      <c r="B530" s="12"/>
      <c r="C530" s="12"/>
      <c r="D530" s="13"/>
      <c r="E530" s="78"/>
      <c r="F530" s="15"/>
      <c r="G530" s="26"/>
      <c r="H530" s="12" t="b">
        <v>0</v>
      </c>
      <c r="I530" s="28"/>
      <c r="J530" s="12" t="b">
        <v>0</v>
      </c>
    </row>
    <row r="531">
      <c r="A531" s="12"/>
      <c r="B531" s="12"/>
      <c r="C531" s="12"/>
      <c r="D531" s="13"/>
      <c r="E531" s="78"/>
      <c r="F531" s="15"/>
      <c r="G531" s="26"/>
      <c r="H531" s="12" t="b">
        <v>0</v>
      </c>
      <c r="I531" s="28"/>
      <c r="J531" s="12" t="b">
        <v>0</v>
      </c>
    </row>
    <row r="532">
      <c r="A532" s="12"/>
      <c r="B532" s="12"/>
      <c r="C532" s="12"/>
      <c r="D532" s="13"/>
      <c r="E532" s="78"/>
      <c r="F532" s="15"/>
      <c r="G532" s="26"/>
      <c r="H532" s="12" t="b">
        <v>0</v>
      </c>
      <c r="I532" s="28"/>
      <c r="J532" s="12" t="b">
        <v>0</v>
      </c>
    </row>
    <row r="533">
      <c r="A533" s="12"/>
      <c r="B533" s="12"/>
      <c r="C533" s="12"/>
      <c r="D533" s="13"/>
      <c r="E533" s="78"/>
      <c r="F533" s="15"/>
      <c r="G533" s="26"/>
      <c r="H533" s="12" t="b">
        <v>0</v>
      </c>
      <c r="I533" s="28"/>
      <c r="J533" s="12" t="b">
        <v>0</v>
      </c>
    </row>
    <row r="534">
      <c r="A534" s="12"/>
      <c r="B534" s="12"/>
      <c r="C534" s="12"/>
      <c r="D534" s="13"/>
      <c r="E534" s="78"/>
      <c r="F534" s="15"/>
      <c r="G534" s="26"/>
      <c r="H534" s="12" t="b">
        <v>0</v>
      </c>
      <c r="I534" s="28"/>
      <c r="J534" s="12" t="b">
        <v>0</v>
      </c>
    </row>
    <row r="535">
      <c r="A535" s="12"/>
      <c r="B535" s="12"/>
      <c r="C535" s="12"/>
      <c r="D535" s="13"/>
      <c r="E535" s="78"/>
      <c r="F535" s="15"/>
      <c r="G535" s="26"/>
      <c r="H535" s="12" t="b">
        <v>0</v>
      </c>
      <c r="I535" s="28"/>
      <c r="J535" s="12" t="b">
        <v>0</v>
      </c>
    </row>
    <row r="536">
      <c r="A536" s="12"/>
      <c r="B536" s="12"/>
      <c r="C536" s="12"/>
      <c r="D536" s="13"/>
      <c r="E536" s="78"/>
      <c r="F536" s="15"/>
      <c r="G536" s="26"/>
      <c r="H536" s="12" t="b">
        <v>0</v>
      </c>
      <c r="I536" s="28"/>
      <c r="J536" s="12" t="b">
        <v>0</v>
      </c>
    </row>
    <row r="537">
      <c r="A537" s="12"/>
      <c r="B537" s="12"/>
      <c r="C537" s="12"/>
      <c r="D537" s="13"/>
      <c r="E537" s="78"/>
      <c r="F537" s="15"/>
      <c r="G537" s="26"/>
      <c r="H537" s="12" t="b">
        <v>0</v>
      </c>
      <c r="I537" s="28"/>
      <c r="J537" s="12" t="b">
        <v>0</v>
      </c>
    </row>
    <row r="538">
      <c r="A538" s="12"/>
      <c r="B538" s="12"/>
      <c r="C538" s="12"/>
      <c r="D538" s="13"/>
      <c r="E538" s="78"/>
      <c r="F538" s="15"/>
      <c r="G538" s="26"/>
      <c r="H538" s="12" t="b">
        <v>0</v>
      </c>
      <c r="I538" s="28"/>
      <c r="J538" s="12" t="b">
        <v>0</v>
      </c>
    </row>
    <row r="539">
      <c r="A539" s="12"/>
      <c r="B539" s="12"/>
      <c r="C539" s="12"/>
      <c r="D539" s="13"/>
      <c r="E539" s="78"/>
      <c r="F539" s="15"/>
      <c r="G539" s="26"/>
      <c r="H539" s="12" t="b">
        <v>0</v>
      </c>
      <c r="I539" s="28"/>
      <c r="J539" s="12" t="b">
        <v>0</v>
      </c>
    </row>
    <row r="540">
      <c r="A540" s="12"/>
      <c r="B540" s="12"/>
      <c r="C540" s="12"/>
      <c r="D540" s="13"/>
      <c r="E540" s="78"/>
      <c r="F540" s="15"/>
      <c r="G540" s="26"/>
      <c r="H540" s="12" t="b">
        <v>0</v>
      </c>
      <c r="I540" s="28"/>
      <c r="J540" s="12" t="b">
        <v>0</v>
      </c>
    </row>
    <row r="541">
      <c r="A541" s="12"/>
      <c r="B541" s="12"/>
      <c r="C541" s="12"/>
      <c r="D541" s="13"/>
      <c r="E541" s="78"/>
      <c r="F541" s="15"/>
      <c r="G541" s="26"/>
      <c r="H541" s="12" t="b">
        <v>0</v>
      </c>
      <c r="I541" s="28"/>
      <c r="J541" s="12" t="b">
        <v>0</v>
      </c>
    </row>
    <row r="542">
      <c r="A542" s="12"/>
      <c r="B542" s="12"/>
      <c r="C542" s="12"/>
      <c r="D542" s="13"/>
      <c r="E542" s="78"/>
      <c r="F542" s="15"/>
      <c r="G542" s="26"/>
      <c r="H542" s="12" t="b">
        <v>0</v>
      </c>
      <c r="I542" s="28"/>
      <c r="J542" s="12" t="b">
        <v>0</v>
      </c>
    </row>
    <row r="543">
      <c r="A543" s="12"/>
      <c r="B543" s="12"/>
      <c r="C543" s="12"/>
      <c r="D543" s="13"/>
      <c r="E543" s="78"/>
      <c r="F543" s="15"/>
      <c r="G543" s="26"/>
      <c r="H543" s="12" t="b">
        <v>0</v>
      </c>
      <c r="I543" s="28"/>
      <c r="J543" s="12" t="b">
        <v>0</v>
      </c>
    </row>
    <row r="544">
      <c r="A544" s="12"/>
      <c r="B544" s="12"/>
      <c r="C544" s="12"/>
      <c r="D544" s="13"/>
      <c r="E544" s="78"/>
      <c r="F544" s="15"/>
      <c r="G544" s="26"/>
      <c r="H544" s="12" t="b">
        <v>0</v>
      </c>
      <c r="I544" s="28"/>
      <c r="J544" s="12" t="b">
        <v>0</v>
      </c>
    </row>
    <row r="545">
      <c r="A545" s="12"/>
      <c r="B545" s="12"/>
      <c r="C545" s="12"/>
      <c r="D545" s="13"/>
      <c r="E545" s="78"/>
      <c r="F545" s="15"/>
      <c r="G545" s="26"/>
      <c r="H545" s="12" t="b">
        <v>0</v>
      </c>
      <c r="I545" s="28"/>
      <c r="J545" s="12" t="b">
        <v>0</v>
      </c>
    </row>
    <row r="546">
      <c r="A546" s="12"/>
      <c r="B546" s="12"/>
      <c r="C546" s="12"/>
      <c r="D546" s="13"/>
      <c r="E546" s="78"/>
      <c r="F546" s="15"/>
      <c r="G546" s="26"/>
      <c r="H546" s="12" t="b">
        <v>0</v>
      </c>
      <c r="I546" s="28"/>
      <c r="J546" s="12" t="b">
        <v>0</v>
      </c>
    </row>
    <row r="547">
      <c r="A547" s="12"/>
      <c r="B547" s="12"/>
      <c r="C547" s="12"/>
      <c r="D547" s="13"/>
      <c r="E547" s="78"/>
      <c r="F547" s="15"/>
      <c r="G547" s="26"/>
      <c r="H547" s="12" t="b">
        <v>0</v>
      </c>
      <c r="I547" s="28"/>
      <c r="J547" s="12" t="b">
        <v>0</v>
      </c>
    </row>
    <row r="548">
      <c r="A548" s="12"/>
      <c r="B548" s="12"/>
      <c r="C548" s="12"/>
      <c r="D548" s="13"/>
      <c r="E548" s="78"/>
      <c r="F548" s="15"/>
      <c r="G548" s="26"/>
      <c r="H548" s="12" t="b">
        <v>0</v>
      </c>
      <c r="I548" s="28"/>
      <c r="J548" s="12" t="b">
        <v>0</v>
      </c>
    </row>
    <row r="549">
      <c r="A549" s="12"/>
      <c r="B549" s="12"/>
      <c r="C549" s="12"/>
      <c r="D549" s="13"/>
      <c r="E549" s="78"/>
      <c r="F549" s="15"/>
      <c r="G549" s="26"/>
      <c r="H549" s="12" t="b">
        <v>0</v>
      </c>
      <c r="I549" s="28"/>
      <c r="J549" s="12" t="b">
        <v>0</v>
      </c>
    </row>
    <row r="550">
      <c r="A550" s="12"/>
      <c r="B550" s="12"/>
      <c r="C550" s="12"/>
      <c r="D550" s="13"/>
      <c r="E550" s="78"/>
      <c r="F550" s="15"/>
      <c r="G550" s="26"/>
      <c r="H550" s="12" t="b">
        <v>0</v>
      </c>
      <c r="I550" s="28"/>
      <c r="J550" s="12" t="b">
        <v>0</v>
      </c>
    </row>
    <row r="551">
      <c r="A551" s="12"/>
      <c r="B551" s="12"/>
      <c r="C551" s="12"/>
      <c r="D551" s="13"/>
      <c r="E551" s="78"/>
      <c r="F551" s="15"/>
      <c r="G551" s="26"/>
      <c r="H551" s="12" t="b">
        <v>0</v>
      </c>
      <c r="I551" s="28"/>
      <c r="J551" s="12" t="b">
        <v>0</v>
      </c>
    </row>
    <row r="552">
      <c r="A552" s="12"/>
      <c r="B552" s="12"/>
      <c r="C552" s="12"/>
      <c r="D552" s="13"/>
      <c r="E552" s="78"/>
      <c r="F552" s="15"/>
      <c r="G552" s="26"/>
      <c r="H552" s="12" t="b">
        <v>0</v>
      </c>
      <c r="I552" s="28"/>
      <c r="J552" s="12" t="b">
        <v>0</v>
      </c>
    </row>
    <row r="553">
      <c r="A553" s="12"/>
      <c r="B553" s="12"/>
      <c r="C553" s="12"/>
      <c r="D553" s="13"/>
      <c r="E553" s="78"/>
      <c r="F553" s="15"/>
      <c r="G553" s="26"/>
      <c r="H553" s="12" t="b">
        <v>0</v>
      </c>
      <c r="I553" s="28"/>
      <c r="J553" s="12" t="b">
        <v>0</v>
      </c>
    </row>
    <row r="554">
      <c r="A554" s="12"/>
      <c r="B554" s="12"/>
      <c r="C554" s="12"/>
      <c r="D554" s="13"/>
      <c r="E554" s="78"/>
      <c r="F554" s="15"/>
      <c r="G554" s="26"/>
      <c r="H554" s="12" t="b">
        <v>0</v>
      </c>
      <c r="I554" s="28"/>
      <c r="J554" s="12" t="b">
        <v>0</v>
      </c>
    </row>
    <row r="555">
      <c r="A555" s="12"/>
      <c r="B555" s="12"/>
      <c r="C555" s="12"/>
      <c r="D555" s="13"/>
      <c r="E555" s="78"/>
      <c r="F555" s="15"/>
      <c r="G555" s="26"/>
      <c r="H555" s="12" t="b">
        <v>0</v>
      </c>
      <c r="I555" s="28"/>
      <c r="J555" s="12" t="b">
        <v>0</v>
      </c>
    </row>
    <row r="556">
      <c r="A556" s="12"/>
      <c r="B556" s="12"/>
      <c r="C556" s="12"/>
      <c r="D556" s="13"/>
      <c r="E556" s="78"/>
      <c r="F556" s="15"/>
      <c r="G556" s="26"/>
      <c r="H556" s="12" t="b">
        <v>0</v>
      </c>
      <c r="I556" s="28"/>
      <c r="J556" s="12" t="b">
        <v>0</v>
      </c>
    </row>
    <row r="557">
      <c r="A557" s="12"/>
      <c r="B557" s="12"/>
      <c r="C557" s="12"/>
      <c r="D557" s="13"/>
      <c r="E557" s="78"/>
      <c r="F557" s="15"/>
      <c r="G557" s="26"/>
      <c r="H557" s="12" t="b">
        <v>0</v>
      </c>
      <c r="I557" s="28"/>
      <c r="J557" s="12" t="b">
        <v>0</v>
      </c>
    </row>
    <row r="558">
      <c r="A558" s="12"/>
      <c r="B558" s="12"/>
      <c r="C558" s="12"/>
      <c r="D558" s="13"/>
      <c r="E558" s="78"/>
      <c r="F558" s="15"/>
      <c r="G558" s="26"/>
      <c r="H558" s="12" t="b">
        <v>0</v>
      </c>
      <c r="I558" s="28"/>
      <c r="J558" s="12" t="b">
        <v>0</v>
      </c>
    </row>
    <row r="559">
      <c r="A559" s="12"/>
      <c r="B559" s="12"/>
      <c r="C559" s="12"/>
      <c r="D559" s="13"/>
      <c r="E559" s="78"/>
      <c r="F559" s="15"/>
      <c r="G559" s="26"/>
      <c r="H559" s="12" t="b">
        <v>0</v>
      </c>
      <c r="I559" s="28"/>
      <c r="J559" s="12" t="b">
        <v>0</v>
      </c>
    </row>
    <row r="560">
      <c r="A560" s="12"/>
      <c r="B560" s="12"/>
      <c r="C560" s="12"/>
      <c r="D560" s="13"/>
      <c r="E560" s="78"/>
      <c r="F560" s="15"/>
      <c r="G560" s="26"/>
      <c r="H560" s="12" t="b">
        <v>0</v>
      </c>
      <c r="I560" s="28"/>
      <c r="J560" s="12" t="b">
        <v>0</v>
      </c>
    </row>
    <row r="561">
      <c r="A561" s="12"/>
      <c r="B561" s="12"/>
      <c r="C561" s="12"/>
      <c r="D561" s="13"/>
      <c r="E561" s="78"/>
      <c r="F561" s="15"/>
      <c r="G561" s="26"/>
      <c r="H561" s="12" t="b">
        <v>0</v>
      </c>
      <c r="I561" s="28"/>
      <c r="J561" s="12" t="b">
        <v>0</v>
      </c>
    </row>
    <row r="562">
      <c r="A562" s="12"/>
      <c r="B562" s="12"/>
      <c r="C562" s="12"/>
      <c r="D562" s="13"/>
      <c r="E562" s="78"/>
      <c r="F562" s="15"/>
      <c r="G562" s="26"/>
      <c r="H562" s="12" t="b">
        <v>0</v>
      </c>
      <c r="I562" s="28"/>
      <c r="J562" s="12" t="b">
        <v>0</v>
      </c>
    </row>
    <row r="563">
      <c r="A563" s="12"/>
      <c r="B563" s="12"/>
      <c r="C563" s="12"/>
      <c r="D563" s="13"/>
      <c r="E563" s="78"/>
      <c r="F563" s="15"/>
      <c r="G563" s="26"/>
      <c r="H563" s="12" t="b">
        <v>0</v>
      </c>
      <c r="I563" s="28"/>
      <c r="J563" s="12" t="b">
        <v>0</v>
      </c>
    </row>
    <row r="564">
      <c r="A564" s="12"/>
      <c r="B564" s="12"/>
      <c r="C564" s="12"/>
      <c r="D564" s="13"/>
      <c r="E564" s="78"/>
      <c r="F564" s="15"/>
      <c r="G564" s="26"/>
      <c r="H564" s="12" t="b">
        <v>0</v>
      </c>
      <c r="I564" s="28"/>
      <c r="J564" s="12" t="b">
        <v>0</v>
      </c>
    </row>
    <row r="565">
      <c r="A565" s="12"/>
      <c r="B565" s="12"/>
      <c r="C565" s="12"/>
      <c r="D565" s="13"/>
      <c r="E565" s="78"/>
      <c r="F565" s="15"/>
      <c r="G565" s="26"/>
      <c r="H565" s="12" t="b">
        <v>0</v>
      </c>
      <c r="I565" s="28"/>
      <c r="J565" s="12" t="b">
        <v>0</v>
      </c>
    </row>
    <row r="566">
      <c r="A566" s="12"/>
      <c r="B566" s="12"/>
      <c r="C566" s="12"/>
      <c r="D566" s="13"/>
      <c r="E566" s="78"/>
      <c r="F566" s="15"/>
      <c r="G566" s="26"/>
      <c r="H566" s="12" t="b">
        <v>0</v>
      </c>
      <c r="I566" s="28"/>
      <c r="J566" s="12" t="b">
        <v>0</v>
      </c>
    </row>
    <row r="567">
      <c r="A567" s="12"/>
      <c r="B567" s="12"/>
      <c r="C567" s="12"/>
      <c r="D567" s="13"/>
      <c r="E567" s="78"/>
      <c r="F567" s="15"/>
      <c r="G567" s="26"/>
      <c r="H567" s="12" t="b">
        <v>0</v>
      </c>
      <c r="I567" s="28"/>
      <c r="J567" s="12" t="b">
        <v>0</v>
      </c>
    </row>
    <row r="568">
      <c r="A568" s="12"/>
      <c r="B568" s="12"/>
      <c r="C568" s="12"/>
      <c r="D568" s="13"/>
      <c r="E568" s="78"/>
      <c r="F568" s="15"/>
      <c r="G568" s="26"/>
      <c r="H568" s="12" t="b">
        <v>0</v>
      </c>
      <c r="I568" s="28"/>
      <c r="J568" s="12" t="b">
        <v>0</v>
      </c>
    </row>
    <row r="569">
      <c r="A569" s="12"/>
      <c r="B569" s="12"/>
      <c r="C569" s="12"/>
      <c r="D569" s="13"/>
      <c r="E569" s="78"/>
      <c r="F569" s="15"/>
      <c r="G569" s="26"/>
      <c r="H569" s="12" t="b">
        <v>0</v>
      </c>
      <c r="I569" s="28"/>
      <c r="J569" s="12" t="b">
        <v>0</v>
      </c>
    </row>
    <row r="570">
      <c r="A570" s="12"/>
      <c r="B570" s="12"/>
      <c r="C570" s="12"/>
      <c r="D570" s="13"/>
      <c r="E570" s="78"/>
      <c r="F570" s="15"/>
      <c r="G570" s="26"/>
      <c r="H570" s="12" t="b">
        <v>0</v>
      </c>
      <c r="I570" s="28"/>
      <c r="J570" s="12" t="b">
        <v>0</v>
      </c>
    </row>
    <row r="571">
      <c r="A571" s="12"/>
      <c r="B571" s="12"/>
      <c r="C571" s="12"/>
      <c r="D571" s="13"/>
      <c r="E571" s="78"/>
      <c r="F571" s="15"/>
      <c r="G571" s="26"/>
      <c r="H571" s="12" t="b">
        <v>0</v>
      </c>
      <c r="I571" s="28"/>
      <c r="J571" s="12" t="b">
        <v>0</v>
      </c>
    </row>
    <row r="572">
      <c r="A572" s="12"/>
      <c r="B572" s="12"/>
      <c r="C572" s="12"/>
      <c r="D572" s="13"/>
      <c r="E572" s="78"/>
      <c r="F572" s="15"/>
      <c r="G572" s="26"/>
      <c r="H572" s="12" t="b">
        <v>0</v>
      </c>
      <c r="I572" s="28"/>
      <c r="J572" s="12" t="b">
        <v>0</v>
      </c>
    </row>
    <row r="573">
      <c r="A573" s="12"/>
      <c r="B573" s="12"/>
      <c r="C573" s="12"/>
      <c r="D573" s="13"/>
      <c r="E573" s="78"/>
      <c r="F573" s="15"/>
      <c r="G573" s="26"/>
      <c r="H573" s="12" t="b">
        <v>0</v>
      </c>
      <c r="I573" s="28"/>
      <c r="J573" s="12" t="b">
        <v>0</v>
      </c>
    </row>
    <row r="574">
      <c r="A574" s="12"/>
      <c r="B574" s="12"/>
      <c r="C574" s="12"/>
      <c r="D574" s="13"/>
      <c r="E574" s="78"/>
      <c r="F574" s="15"/>
      <c r="G574" s="26"/>
      <c r="H574" s="12" t="b">
        <v>0</v>
      </c>
      <c r="I574" s="28"/>
      <c r="J574" s="12" t="b">
        <v>0</v>
      </c>
    </row>
    <row r="575">
      <c r="A575" s="12"/>
      <c r="B575" s="12"/>
      <c r="C575" s="12"/>
      <c r="D575" s="13"/>
      <c r="E575" s="78"/>
      <c r="F575" s="15"/>
      <c r="G575" s="26"/>
      <c r="H575" s="12" t="b">
        <v>0</v>
      </c>
      <c r="I575" s="28"/>
      <c r="J575" s="12" t="b">
        <v>0</v>
      </c>
    </row>
    <row r="576">
      <c r="A576" s="12"/>
      <c r="B576" s="12"/>
      <c r="C576" s="12"/>
      <c r="D576" s="13"/>
      <c r="E576" s="78"/>
      <c r="F576" s="15"/>
      <c r="G576" s="26"/>
      <c r="H576" s="12" t="b">
        <v>0</v>
      </c>
      <c r="I576" s="28"/>
      <c r="J576" s="12" t="b">
        <v>0</v>
      </c>
    </row>
    <row r="577">
      <c r="A577" s="12"/>
      <c r="B577" s="12"/>
      <c r="C577" s="12"/>
      <c r="D577" s="13"/>
      <c r="E577" s="78"/>
      <c r="F577" s="15"/>
      <c r="G577" s="26"/>
      <c r="H577" s="12" t="b">
        <v>0</v>
      </c>
      <c r="I577" s="28"/>
      <c r="J577" s="12" t="b">
        <v>0</v>
      </c>
    </row>
    <row r="578">
      <c r="A578" s="12"/>
      <c r="B578" s="12"/>
      <c r="C578" s="12"/>
      <c r="D578" s="13"/>
      <c r="E578" s="78"/>
      <c r="F578" s="15"/>
      <c r="G578" s="26"/>
      <c r="H578" s="12" t="b">
        <v>0</v>
      </c>
      <c r="I578" s="28"/>
      <c r="J578" s="12" t="b">
        <v>0</v>
      </c>
    </row>
    <row r="579">
      <c r="A579" s="12"/>
      <c r="B579" s="12"/>
      <c r="C579" s="12"/>
      <c r="D579" s="13"/>
      <c r="E579" s="78"/>
      <c r="F579" s="15"/>
      <c r="G579" s="26"/>
      <c r="H579" s="12" t="b">
        <v>0</v>
      </c>
      <c r="I579" s="28"/>
      <c r="J579" s="12" t="b">
        <v>0</v>
      </c>
    </row>
    <row r="580">
      <c r="A580" s="12"/>
      <c r="B580" s="12"/>
      <c r="C580" s="12"/>
      <c r="D580" s="13"/>
      <c r="E580" s="78"/>
      <c r="F580" s="15"/>
      <c r="G580" s="26"/>
      <c r="H580" s="12" t="b">
        <v>0</v>
      </c>
      <c r="I580" s="28"/>
      <c r="J580" s="12" t="b">
        <v>0</v>
      </c>
    </row>
    <row r="581">
      <c r="A581" s="12"/>
      <c r="B581" s="12"/>
      <c r="C581" s="12"/>
      <c r="D581" s="13"/>
      <c r="E581" s="78"/>
      <c r="F581" s="15"/>
      <c r="G581" s="26"/>
      <c r="H581" s="12" t="b">
        <v>0</v>
      </c>
      <c r="I581" s="28"/>
      <c r="J581" s="12" t="b">
        <v>0</v>
      </c>
    </row>
    <row r="582">
      <c r="A582" s="12"/>
      <c r="B582" s="12"/>
      <c r="C582" s="12"/>
      <c r="D582" s="13"/>
      <c r="E582" s="78"/>
      <c r="F582" s="15"/>
      <c r="G582" s="26"/>
      <c r="H582" s="12" t="b">
        <v>0</v>
      </c>
      <c r="I582" s="28"/>
      <c r="J582" s="12" t="b">
        <v>0</v>
      </c>
    </row>
    <row r="583">
      <c r="A583" s="12"/>
      <c r="B583" s="12"/>
      <c r="C583" s="12"/>
      <c r="D583" s="13"/>
      <c r="E583" s="78"/>
      <c r="F583" s="15"/>
      <c r="G583" s="26"/>
      <c r="H583" s="12" t="b">
        <v>0</v>
      </c>
      <c r="I583" s="28"/>
      <c r="J583" s="12" t="b">
        <v>0</v>
      </c>
    </row>
    <row r="584">
      <c r="A584" s="12"/>
      <c r="B584" s="12"/>
      <c r="C584" s="12"/>
      <c r="D584" s="13"/>
      <c r="E584" s="78"/>
      <c r="F584" s="15"/>
      <c r="G584" s="26"/>
      <c r="H584" s="12" t="b">
        <v>0</v>
      </c>
      <c r="I584" s="28"/>
      <c r="J584" s="12" t="b">
        <v>0</v>
      </c>
    </row>
    <row r="585">
      <c r="A585" s="12"/>
      <c r="B585" s="12"/>
      <c r="C585" s="12"/>
      <c r="D585" s="13"/>
      <c r="E585" s="78"/>
      <c r="F585" s="15"/>
      <c r="G585" s="26"/>
      <c r="H585" s="12" t="b">
        <v>0</v>
      </c>
      <c r="I585" s="28"/>
      <c r="J585" s="12" t="b">
        <v>0</v>
      </c>
    </row>
    <row r="586">
      <c r="A586" s="12"/>
      <c r="B586" s="12"/>
      <c r="C586" s="12"/>
      <c r="D586" s="13"/>
      <c r="E586" s="78"/>
      <c r="F586" s="15"/>
      <c r="G586" s="26"/>
      <c r="H586" s="12" t="b">
        <v>0</v>
      </c>
      <c r="I586" s="28"/>
      <c r="J586" s="12" t="b">
        <v>0</v>
      </c>
    </row>
    <row r="587">
      <c r="A587" s="12"/>
      <c r="B587" s="12"/>
      <c r="C587" s="12"/>
      <c r="D587" s="13"/>
      <c r="E587" s="78"/>
      <c r="F587" s="15"/>
      <c r="G587" s="26"/>
      <c r="H587" s="12" t="b">
        <v>0</v>
      </c>
      <c r="I587" s="28"/>
      <c r="J587" s="12" t="b">
        <v>0</v>
      </c>
    </row>
    <row r="588">
      <c r="A588" s="12"/>
      <c r="B588" s="12"/>
      <c r="C588" s="12"/>
      <c r="D588" s="13"/>
      <c r="E588" s="78"/>
      <c r="F588" s="15"/>
      <c r="G588" s="26"/>
      <c r="H588" s="12" t="b">
        <v>0</v>
      </c>
      <c r="I588" s="28"/>
      <c r="J588" s="12" t="b">
        <v>0</v>
      </c>
    </row>
    <row r="589">
      <c r="A589" s="12"/>
      <c r="B589" s="12"/>
      <c r="C589" s="12"/>
      <c r="D589" s="13"/>
      <c r="E589" s="78"/>
      <c r="F589" s="15"/>
      <c r="G589" s="26"/>
      <c r="H589" s="12" t="b">
        <v>0</v>
      </c>
      <c r="I589" s="28"/>
      <c r="J589" s="12" t="b">
        <v>0</v>
      </c>
    </row>
    <row r="590">
      <c r="A590" s="12"/>
      <c r="B590" s="12"/>
      <c r="C590" s="12"/>
      <c r="D590" s="13"/>
      <c r="E590" s="78"/>
      <c r="F590" s="15"/>
      <c r="G590" s="26"/>
      <c r="H590" s="12" t="b">
        <v>0</v>
      </c>
      <c r="I590" s="28"/>
      <c r="J590" s="12" t="b">
        <v>0</v>
      </c>
    </row>
    <row r="591">
      <c r="A591" s="12"/>
      <c r="B591" s="12"/>
      <c r="C591" s="12"/>
      <c r="D591" s="13"/>
      <c r="E591" s="78"/>
      <c r="F591" s="15"/>
      <c r="G591" s="26"/>
      <c r="H591" s="12" t="b">
        <v>0</v>
      </c>
      <c r="I591" s="28"/>
      <c r="J591" s="12" t="b">
        <v>0</v>
      </c>
    </row>
    <row r="592">
      <c r="A592" s="12"/>
      <c r="B592" s="12"/>
      <c r="C592" s="12"/>
      <c r="D592" s="13"/>
      <c r="E592" s="78"/>
      <c r="F592" s="15"/>
      <c r="G592" s="26"/>
      <c r="H592" s="12" t="b">
        <v>0</v>
      </c>
      <c r="I592" s="28"/>
      <c r="J592" s="12" t="b">
        <v>0</v>
      </c>
    </row>
    <row r="593">
      <c r="A593" s="12"/>
      <c r="B593" s="12"/>
      <c r="C593" s="12"/>
      <c r="D593" s="13"/>
      <c r="E593" s="78"/>
      <c r="F593" s="15"/>
      <c r="G593" s="26"/>
      <c r="H593" s="12" t="b">
        <v>0</v>
      </c>
      <c r="I593" s="28"/>
      <c r="J593" s="12" t="b">
        <v>0</v>
      </c>
    </row>
    <row r="594">
      <c r="A594" s="12"/>
      <c r="B594" s="12"/>
      <c r="C594" s="12"/>
      <c r="D594" s="13"/>
      <c r="E594" s="78"/>
      <c r="F594" s="15"/>
      <c r="G594" s="26"/>
      <c r="H594" s="12" t="b">
        <v>0</v>
      </c>
      <c r="I594" s="28"/>
      <c r="J594" s="12" t="b">
        <v>0</v>
      </c>
    </row>
    <row r="595">
      <c r="A595" s="12"/>
      <c r="B595" s="12"/>
      <c r="C595" s="12"/>
      <c r="D595" s="13"/>
      <c r="E595" s="78"/>
      <c r="F595" s="15"/>
      <c r="G595" s="26"/>
      <c r="H595" s="12" t="b">
        <v>0</v>
      </c>
      <c r="I595" s="28"/>
      <c r="J595" s="12" t="b">
        <v>0</v>
      </c>
    </row>
    <row r="596">
      <c r="A596" s="12"/>
      <c r="B596" s="12"/>
      <c r="C596" s="12"/>
      <c r="D596" s="13"/>
      <c r="E596" s="78"/>
      <c r="F596" s="15"/>
      <c r="G596" s="26"/>
      <c r="H596" s="12" t="b">
        <v>0</v>
      </c>
      <c r="I596" s="28"/>
      <c r="J596" s="12" t="b">
        <v>0</v>
      </c>
    </row>
    <row r="597">
      <c r="A597" s="12"/>
      <c r="B597" s="12"/>
      <c r="C597" s="12"/>
      <c r="D597" s="13"/>
      <c r="E597" s="78"/>
      <c r="F597" s="15"/>
      <c r="G597" s="26"/>
      <c r="H597" s="12" t="b">
        <v>0</v>
      </c>
      <c r="I597" s="28"/>
      <c r="J597" s="12" t="b">
        <v>0</v>
      </c>
    </row>
    <row r="598">
      <c r="A598" s="12"/>
      <c r="B598" s="12"/>
      <c r="C598" s="12"/>
      <c r="D598" s="13"/>
      <c r="E598" s="78"/>
      <c r="F598" s="15"/>
      <c r="G598" s="26"/>
      <c r="H598" s="12" t="b">
        <v>0</v>
      </c>
      <c r="I598" s="28"/>
      <c r="J598" s="12" t="b">
        <v>0</v>
      </c>
    </row>
    <row r="599">
      <c r="A599" s="12"/>
      <c r="B599" s="12"/>
      <c r="C599" s="12"/>
      <c r="D599" s="13"/>
      <c r="E599" s="78"/>
      <c r="F599" s="15"/>
      <c r="G599" s="26"/>
      <c r="H599" s="12" t="b">
        <v>0</v>
      </c>
      <c r="I599" s="28"/>
      <c r="J599" s="12" t="b">
        <v>0</v>
      </c>
    </row>
    <row r="600">
      <c r="A600" s="12"/>
      <c r="B600" s="12"/>
      <c r="C600" s="12"/>
      <c r="D600" s="13"/>
      <c r="E600" s="78"/>
      <c r="F600" s="15"/>
      <c r="G600" s="26"/>
      <c r="H600" s="12" t="b">
        <v>0</v>
      </c>
      <c r="I600" s="28"/>
      <c r="J600" s="12" t="b">
        <v>0</v>
      </c>
    </row>
    <row r="601">
      <c r="A601" s="12"/>
      <c r="B601" s="12"/>
      <c r="C601" s="12"/>
      <c r="D601" s="13"/>
      <c r="E601" s="78"/>
      <c r="F601" s="15"/>
      <c r="G601" s="26"/>
      <c r="H601" s="12" t="b">
        <v>0</v>
      </c>
      <c r="I601" s="28"/>
      <c r="J601" s="12" t="b">
        <v>0</v>
      </c>
    </row>
    <row r="602">
      <c r="A602" s="12"/>
      <c r="B602" s="12"/>
      <c r="C602" s="12"/>
      <c r="D602" s="13"/>
      <c r="E602" s="78"/>
      <c r="F602" s="15"/>
      <c r="G602" s="26"/>
      <c r="H602" s="12" t="b">
        <v>0</v>
      </c>
      <c r="I602" s="28"/>
      <c r="J602" s="12" t="b">
        <v>0</v>
      </c>
    </row>
    <row r="603">
      <c r="A603" s="12"/>
      <c r="B603" s="12"/>
      <c r="C603" s="12"/>
      <c r="D603" s="13"/>
      <c r="E603" s="78"/>
      <c r="F603" s="15"/>
      <c r="G603" s="26"/>
      <c r="H603" s="12" t="b">
        <v>0</v>
      </c>
      <c r="I603" s="28"/>
      <c r="J603" s="12" t="b">
        <v>0</v>
      </c>
    </row>
    <row r="604">
      <c r="A604" s="12"/>
      <c r="B604" s="12"/>
      <c r="C604" s="12"/>
      <c r="D604" s="13"/>
      <c r="E604" s="78"/>
      <c r="F604" s="15"/>
      <c r="G604" s="26"/>
      <c r="H604" s="12" t="b">
        <v>0</v>
      </c>
      <c r="I604" s="28"/>
      <c r="J604" s="12" t="b">
        <v>0</v>
      </c>
    </row>
    <row r="605">
      <c r="A605" s="12"/>
      <c r="B605" s="12"/>
      <c r="C605" s="12"/>
      <c r="D605" s="13"/>
      <c r="E605" s="78"/>
      <c r="F605" s="15"/>
      <c r="G605" s="26"/>
      <c r="H605" s="12" t="b">
        <v>0</v>
      </c>
      <c r="I605" s="28"/>
      <c r="J605" s="12" t="b">
        <v>0</v>
      </c>
    </row>
    <row r="606">
      <c r="A606" s="12"/>
      <c r="B606" s="12"/>
      <c r="C606" s="12"/>
      <c r="D606" s="13"/>
      <c r="E606" s="78"/>
      <c r="F606" s="15"/>
      <c r="G606" s="26"/>
      <c r="H606" s="12" t="b">
        <v>0</v>
      </c>
      <c r="I606" s="28"/>
      <c r="J606" s="12" t="b">
        <v>0</v>
      </c>
    </row>
    <row r="607">
      <c r="A607" s="12"/>
      <c r="B607" s="12"/>
      <c r="C607" s="12"/>
      <c r="D607" s="13"/>
      <c r="E607" s="78"/>
      <c r="F607" s="15"/>
      <c r="G607" s="26"/>
      <c r="H607" s="12" t="b">
        <v>0</v>
      </c>
      <c r="I607" s="28"/>
      <c r="J607" s="12" t="b">
        <v>0</v>
      </c>
    </row>
    <row r="608">
      <c r="A608" s="12"/>
      <c r="B608" s="12"/>
      <c r="C608" s="12"/>
      <c r="D608" s="13"/>
      <c r="E608" s="78"/>
      <c r="F608" s="15"/>
      <c r="G608" s="26"/>
      <c r="H608" s="12" t="b">
        <v>0</v>
      </c>
      <c r="I608" s="28"/>
      <c r="J608" s="12" t="b">
        <v>0</v>
      </c>
    </row>
    <row r="609">
      <c r="A609" s="12"/>
      <c r="B609" s="12"/>
      <c r="C609" s="12"/>
      <c r="D609" s="13"/>
      <c r="E609" s="78"/>
      <c r="F609" s="15"/>
      <c r="G609" s="26"/>
      <c r="H609" s="12" t="b">
        <v>0</v>
      </c>
      <c r="I609" s="28"/>
      <c r="J609" s="12" t="b">
        <v>0</v>
      </c>
    </row>
    <row r="610">
      <c r="A610" s="12"/>
      <c r="B610" s="12"/>
      <c r="C610" s="12"/>
      <c r="D610" s="13"/>
      <c r="E610" s="78"/>
      <c r="F610" s="15"/>
      <c r="G610" s="26"/>
      <c r="H610" s="12" t="b">
        <v>0</v>
      </c>
      <c r="I610" s="28"/>
      <c r="J610" s="12" t="b">
        <v>0</v>
      </c>
    </row>
    <row r="611">
      <c r="A611" s="12"/>
      <c r="B611" s="12"/>
      <c r="C611" s="12"/>
      <c r="D611" s="13"/>
      <c r="E611" s="78"/>
      <c r="F611" s="15"/>
      <c r="G611" s="26"/>
      <c r="H611" s="12" t="b">
        <v>0</v>
      </c>
      <c r="I611" s="28"/>
      <c r="J611" s="12" t="b">
        <v>0</v>
      </c>
    </row>
    <row r="612">
      <c r="A612" s="12"/>
      <c r="B612" s="12"/>
      <c r="C612" s="12"/>
      <c r="D612" s="13"/>
      <c r="E612" s="78"/>
      <c r="F612" s="15"/>
      <c r="G612" s="26"/>
      <c r="H612" s="12" t="b">
        <v>0</v>
      </c>
      <c r="I612" s="28"/>
      <c r="J612" s="12" t="b">
        <v>0</v>
      </c>
    </row>
    <row r="613">
      <c r="A613" s="12"/>
      <c r="B613" s="12"/>
      <c r="C613" s="12"/>
      <c r="D613" s="13"/>
      <c r="E613" s="78"/>
      <c r="F613" s="15"/>
      <c r="G613" s="26"/>
      <c r="H613" s="12" t="b">
        <v>0</v>
      </c>
      <c r="I613" s="28"/>
      <c r="J613" s="12" t="b">
        <v>0</v>
      </c>
    </row>
    <row r="614">
      <c r="A614" s="12"/>
      <c r="B614" s="12"/>
      <c r="C614" s="12"/>
      <c r="D614" s="13"/>
      <c r="E614" s="78"/>
      <c r="F614" s="15"/>
      <c r="G614" s="26"/>
      <c r="H614" s="12" t="b">
        <v>0</v>
      </c>
      <c r="I614" s="28"/>
      <c r="J614" s="12" t="b">
        <v>0</v>
      </c>
    </row>
    <row r="615">
      <c r="A615" s="12"/>
      <c r="B615" s="12"/>
      <c r="C615" s="12"/>
      <c r="D615" s="13"/>
      <c r="E615" s="78"/>
      <c r="F615" s="15"/>
      <c r="G615" s="26"/>
      <c r="H615" s="12" t="b">
        <v>0</v>
      </c>
      <c r="I615" s="28"/>
      <c r="J615" s="12" t="b">
        <v>0</v>
      </c>
    </row>
    <row r="616">
      <c r="A616" s="12"/>
      <c r="B616" s="12"/>
      <c r="C616" s="12"/>
      <c r="D616" s="13"/>
      <c r="E616" s="78"/>
      <c r="F616" s="15"/>
      <c r="G616" s="26"/>
      <c r="H616" s="12" t="b">
        <v>0</v>
      </c>
      <c r="I616" s="28"/>
      <c r="J616" s="12" t="b">
        <v>0</v>
      </c>
    </row>
    <row r="617">
      <c r="A617" s="12"/>
      <c r="B617" s="12"/>
      <c r="C617" s="12"/>
      <c r="D617" s="13"/>
      <c r="E617" s="78"/>
      <c r="F617" s="15"/>
      <c r="G617" s="26"/>
      <c r="H617" s="12" t="b">
        <v>0</v>
      </c>
      <c r="I617" s="28"/>
      <c r="J617" s="12" t="b">
        <v>0</v>
      </c>
    </row>
    <row r="618">
      <c r="A618" s="12"/>
      <c r="B618" s="12"/>
      <c r="C618" s="12"/>
      <c r="D618" s="13"/>
      <c r="E618" s="78"/>
      <c r="F618" s="15"/>
      <c r="G618" s="26"/>
      <c r="H618" s="12" t="b">
        <v>0</v>
      </c>
      <c r="I618" s="28"/>
      <c r="J618" s="12" t="b">
        <v>0</v>
      </c>
    </row>
    <row r="619">
      <c r="A619" s="12"/>
      <c r="B619" s="12"/>
      <c r="C619" s="12"/>
      <c r="D619" s="13"/>
      <c r="E619" s="78"/>
      <c r="F619" s="15"/>
      <c r="G619" s="26"/>
      <c r="H619" s="12" t="b">
        <v>0</v>
      </c>
      <c r="I619" s="28"/>
      <c r="J619" s="12" t="b">
        <v>0</v>
      </c>
    </row>
    <row r="620">
      <c r="A620" s="12"/>
      <c r="B620" s="12"/>
      <c r="C620" s="12"/>
      <c r="D620" s="13"/>
      <c r="E620" s="78"/>
      <c r="F620" s="15"/>
      <c r="G620" s="26"/>
      <c r="H620" s="12" t="b">
        <v>0</v>
      </c>
      <c r="I620" s="28"/>
      <c r="J620" s="12" t="b">
        <v>0</v>
      </c>
    </row>
    <row r="621">
      <c r="A621" s="12"/>
      <c r="B621" s="12"/>
      <c r="C621" s="12"/>
      <c r="D621" s="13"/>
      <c r="E621" s="78"/>
      <c r="F621" s="15"/>
      <c r="G621" s="26"/>
      <c r="H621" s="12" t="b">
        <v>0</v>
      </c>
      <c r="I621" s="28"/>
      <c r="J621" s="12" t="b">
        <v>0</v>
      </c>
    </row>
    <row r="622">
      <c r="A622" s="12"/>
      <c r="B622" s="12"/>
      <c r="C622" s="12"/>
      <c r="D622" s="13"/>
      <c r="E622" s="78"/>
      <c r="F622" s="15"/>
      <c r="G622" s="26"/>
      <c r="H622" s="12" t="b">
        <v>0</v>
      </c>
      <c r="I622" s="28"/>
      <c r="J622" s="12" t="b">
        <v>0</v>
      </c>
    </row>
    <row r="623">
      <c r="A623" s="12"/>
      <c r="B623" s="12"/>
      <c r="C623" s="12"/>
      <c r="D623" s="13"/>
      <c r="E623" s="78"/>
      <c r="F623" s="15"/>
      <c r="G623" s="26"/>
      <c r="H623" s="12" t="b">
        <v>0</v>
      </c>
      <c r="I623" s="28"/>
      <c r="J623" s="12" t="b">
        <v>0</v>
      </c>
    </row>
    <row r="624">
      <c r="A624" s="12"/>
      <c r="B624" s="12"/>
      <c r="C624" s="12"/>
      <c r="D624" s="13"/>
      <c r="E624" s="78"/>
      <c r="F624" s="15"/>
      <c r="G624" s="26"/>
      <c r="H624" s="12" t="b">
        <v>0</v>
      </c>
      <c r="I624" s="28"/>
      <c r="J624" s="12" t="b">
        <v>0</v>
      </c>
    </row>
    <row r="625">
      <c r="A625" s="12"/>
      <c r="B625" s="12"/>
      <c r="C625" s="12"/>
      <c r="D625" s="13"/>
      <c r="E625" s="78"/>
      <c r="F625" s="15"/>
      <c r="G625" s="26"/>
      <c r="H625" s="12" t="b">
        <v>0</v>
      </c>
      <c r="I625" s="28"/>
      <c r="J625" s="12" t="b">
        <v>0</v>
      </c>
    </row>
    <row r="626">
      <c r="A626" s="12"/>
      <c r="B626" s="12"/>
      <c r="C626" s="12"/>
      <c r="D626" s="13"/>
      <c r="E626" s="78"/>
      <c r="F626" s="15"/>
      <c r="G626" s="26"/>
      <c r="H626" s="12" t="b">
        <v>0</v>
      </c>
      <c r="I626" s="28"/>
      <c r="J626" s="12" t="b">
        <v>0</v>
      </c>
    </row>
    <row r="627">
      <c r="A627" s="12"/>
      <c r="B627" s="12"/>
      <c r="C627" s="12"/>
      <c r="D627" s="13"/>
      <c r="E627" s="78"/>
      <c r="F627" s="15"/>
      <c r="G627" s="26"/>
      <c r="H627" s="12" t="b">
        <v>0</v>
      </c>
      <c r="I627" s="28"/>
      <c r="J627" s="12" t="b">
        <v>0</v>
      </c>
    </row>
    <row r="628">
      <c r="A628" s="12"/>
      <c r="B628" s="12"/>
      <c r="C628" s="12"/>
      <c r="D628" s="13"/>
      <c r="E628" s="78"/>
      <c r="F628" s="15"/>
      <c r="G628" s="26"/>
      <c r="H628" s="12" t="b">
        <v>0</v>
      </c>
      <c r="I628" s="28"/>
      <c r="J628" s="12" t="b">
        <v>0</v>
      </c>
    </row>
    <row r="629">
      <c r="A629" s="12"/>
      <c r="B629" s="12"/>
      <c r="C629" s="12"/>
      <c r="D629" s="13"/>
      <c r="E629" s="78"/>
      <c r="F629" s="15"/>
      <c r="G629" s="26"/>
      <c r="H629" s="12" t="b">
        <v>0</v>
      </c>
      <c r="I629" s="28"/>
      <c r="J629" s="12" t="b">
        <v>0</v>
      </c>
    </row>
    <row r="630">
      <c r="A630" s="12"/>
      <c r="B630" s="12"/>
      <c r="C630" s="12"/>
      <c r="D630" s="13"/>
      <c r="E630" s="78"/>
      <c r="F630" s="15"/>
      <c r="G630" s="26"/>
      <c r="H630" s="12" t="b">
        <v>0</v>
      </c>
      <c r="I630" s="28"/>
      <c r="J630" s="12" t="b">
        <v>0</v>
      </c>
    </row>
    <row r="631">
      <c r="A631" s="12"/>
      <c r="B631" s="12"/>
      <c r="C631" s="12"/>
      <c r="D631" s="13"/>
      <c r="E631" s="78"/>
      <c r="F631" s="15"/>
      <c r="G631" s="26"/>
      <c r="H631" s="12" t="b">
        <v>0</v>
      </c>
      <c r="I631" s="28"/>
      <c r="J631" s="12" t="b">
        <v>0</v>
      </c>
    </row>
    <row r="632">
      <c r="A632" s="12"/>
      <c r="B632" s="12"/>
      <c r="C632" s="12"/>
      <c r="D632" s="13"/>
      <c r="E632" s="78"/>
      <c r="F632" s="15"/>
      <c r="G632" s="26"/>
      <c r="H632" s="12" t="b">
        <v>0</v>
      </c>
      <c r="I632" s="28"/>
      <c r="J632" s="12" t="b">
        <v>0</v>
      </c>
    </row>
    <row r="633">
      <c r="A633" s="12"/>
      <c r="B633" s="12"/>
      <c r="C633" s="12"/>
      <c r="D633" s="13"/>
      <c r="E633" s="78"/>
      <c r="F633" s="15"/>
      <c r="G633" s="26"/>
      <c r="H633" s="12" t="b">
        <v>0</v>
      </c>
      <c r="I633" s="28"/>
      <c r="J633" s="12" t="b">
        <v>0</v>
      </c>
    </row>
    <row r="634">
      <c r="A634" s="12"/>
      <c r="B634" s="12"/>
      <c r="C634" s="12"/>
      <c r="D634" s="13"/>
      <c r="E634" s="78"/>
      <c r="F634" s="15"/>
      <c r="G634" s="26"/>
      <c r="H634" s="12" t="b">
        <v>0</v>
      </c>
      <c r="I634" s="28"/>
      <c r="J634" s="12" t="b">
        <v>0</v>
      </c>
    </row>
    <row r="635">
      <c r="A635" s="12"/>
      <c r="B635" s="12"/>
      <c r="C635" s="12"/>
      <c r="D635" s="13"/>
      <c r="E635" s="78"/>
      <c r="F635" s="15"/>
      <c r="G635" s="26"/>
      <c r="H635" s="12" t="b">
        <v>0</v>
      </c>
      <c r="I635" s="28"/>
      <c r="J635" s="12" t="b">
        <v>0</v>
      </c>
    </row>
    <row r="636">
      <c r="A636" s="12"/>
      <c r="B636" s="12"/>
      <c r="C636" s="12"/>
      <c r="D636" s="13"/>
      <c r="E636" s="78"/>
      <c r="F636" s="15"/>
      <c r="G636" s="26"/>
      <c r="H636" s="12" t="b">
        <v>0</v>
      </c>
      <c r="I636" s="28"/>
      <c r="J636" s="12" t="b">
        <v>0</v>
      </c>
    </row>
    <row r="637">
      <c r="A637" s="12"/>
      <c r="B637" s="12"/>
      <c r="C637" s="12"/>
      <c r="D637" s="13"/>
      <c r="E637" s="78"/>
      <c r="F637" s="15"/>
      <c r="G637" s="26"/>
      <c r="H637" s="12" t="b">
        <v>0</v>
      </c>
      <c r="I637" s="28"/>
      <c r="J637" s="12" t="b">
        <v>0</v>
      </c>
    </row>
    <row r="638">
      <c r="A638" s="12"/>
      <c r="B638" s="12"/>
      <c r="C638" s="12"/>
      <c r="D638" s="13"/>
      <c r="E638" s="78"/>
      <c r="F638" s="15"/>
      <c r="G638" s="26"/>
      <c r="H638" s="12" t="b">
        <v>0</v>
      </c>
      <c r="I638" s="28"/>
      <c r="J638" s="12" t="b">
        <v>0</v>
      </c>
    </row>
    <row r="639">
      <c r="A639" s="12"/>
      <c r="B639" s="12"/>
      <c r="C639" s="12"/>
      <c r="D639" s="13"/>
      <c r="E639" s="78"/>
      <c r="F639" s="15"/>
      <c r="G639" s="26"/>
      <c r="H639" s="12" t="b">
        <v>0</v>
      </c>
      <c r="I639" s="28"/>
      <c r="J639" s="12" t="b">
        <v>0</v>
      </c>
    </row>
    <row r="640">
      <c r="A640" s="12"/>
      <c r="B640" s="12"/>
      <c r="C640" s="12"/>
      <c r="D640" s="13"/>
      <c r="E640" s="78"/>
      <c r="F640" s="15"/>
      <c r="G640" s="26"/>
      <c r="H640" s="12" t="b">
        <v>0</v>
      </c>
      <c r="I640" s="28"/>
      <c r="J640" s="12" t="b">
        <v>0</v>
      </c>
    </row>
    <row r="641">
      <c r="A641" s="12"/>
      <c r="B641" s="12"/>
      <c r="C641" s="12"/>
      <c r="D641" s="13"/>
      <c r="E641" s="78"/>
      <c r="F641" s="15"/>
      <c r="G641" s="26"/>
      <c r="H641" s="12" t="b">
        <v>0</v>
      </c>
      <c r="I641" s="28"/>
      <c r="J641" s="12" t="b">
        <v>0</v>
      </c>
    </row>
    <row r="642">
      <c r="A642" s="12"/>
      <c r="B642" s="12"/>
      <c r="C642" s="12"/>
      <c r="D642" s="13"/>
      <c r="E642" s="78"/>
      <c r="F642" s="15"/>
      <c r="G642" s="26"/>
      <c r="H642" s="12" t="b">
        <v>0</v>
      </c>
      <c r="I642" s="28"/>
      <c r="J642" s="12" t="b">
        <v>0</v>
      </c>
    </row>
    <row r="643">
      <c r="A643" s="12"/>
      <c r="B643" s="12"/>
      <c r="C643" s="12"/>
      <c r="D643" s="13"/>
      <c r="E643" s="78"/>
      <c r="F643" s="15"/>
      <c r="G643" s="26"/>
      <c r="H643" s="12" t="b">
        <v>0</v>
      </c>
      <c r="I643" s="28"/>
      <c r="J643" s="12" t="b">
        <v>0</v>
      </c>
    </row>
    <row r="644">
      <c r="A644" s="12"/>
      <c r="B644" s="12"/>
      <c r="C644" s="12"/>
      <c r="D644" s="13"/>
      <c r="E644" s="78"/>
      <c r="F644" s="15"/>
      <c r="G644" s="26"/>
      <c r="H644" s="12" t="b">
        <v>0</v>
      </c>
      <c r="I644" s="28"/>
      <c r="J644" s="12" t="b">
        <v>0</v>
      </c>
    </row>
    <row r="645">
      <c r="A645" s="12"/>
      <c r="B645" s="12"/>
      <c r="C645" s="12"/>
      <c r="D645" s="13"/>
      <c r="E645" s="78"/>
      <c r="F645" s="15"/>
      <c r="G645" s="26"/>
      <c r="H645" s="12" t="b">
        <v>0</v>
      </c>
      <c r="I645" s="28"/>
      <c r="J645" s="12" t="b">
        <v>0</v>
      </c>
    </row>
    <row r="646">
      <c r="A646" s="12"/>
      <c r="B646" s="12"/>
      <c r="C646" s="12"/>
      <c r="D646" s="13"/>
      <c r="E646" s="78"/>
      <c r="F646" s="15"/>
      <c r="G646" s="26"/>
      <c r="H646" s="12" t="b">
        <v>0</v>
      </c>
      <c r="I646" s="28"/>
      <c r="J646" s="12" t="b">
        <v>0</v>
      </c>
    </row>
    <row r="647">
      <c r="A647" s="12"/>
      <c r="B647" s="12"/>
      <c r="C647" s="12"/>
      <c r="D647" s="13"/>
      <c r="E647" s="78"/>
      <c r="F647" s="15"/>
      <c r="G647" s="26"/>
      <c r="H647" s="12" t="b">
        <v>0</v>
      </c>
      <c r="I647" s="28"/>
      <c r="J647" s="12" t="b">
        <v>0</v>
      </c>
    </row>
    <row r="648">
      <c r="A648" s="12"/>
      <c r="B648" s="12"/>
      <c r="C648" s="12"/>
      <c r="D648" s="13"/>
      <c r="E648" s="78"/>
      <c r="F648" s="15"/>
      <c r="G648" s="26"/>
      <c r="H648" s="12" t="b">
        <v>0</v>
      </c>
      <c r="I648" s="28"/>
      <c r="J648" s="12" t="b">
        <v>0</v>
      </c>
    </row>
    <row r="649">
      <c r="A649" s="12"/>
      <c r="B649" s="12"/>
      <c r="C649" s="12"/>
      <c r="D649" s="13"/>
      <c r="E649" s="78"/>
      <c r="F649" s="15"/>
      <c r="G649" s="26"/>
      <c r="H649" s="12" t="b">
        <v>0</v>
      </c>
      <c r="I649" s="28"/>
      <c r="J649" s="12" t="b">
        <v>0</v>
      </c>
    </row>
    <row r="650">
      <c r="A650" s="12"/>
      <c r="B650" s="12"/>
      <c r="C650" s="12"/>
      <c r="D650" s="13"/>
      <c r="E650" s="78"/>
      <c r="F650" s="15"/>
      <c r="G650" s="26"/>
      <c r="H650" s="12" t="b">
        <v>0</v>
      </c>
      <c r="I650" s="28"/>
      <c r="J650" s="12" t="b">
        <v>0</v>
      </c>
    </row>
    <row r="651">
      <c r="A651" s="12"/>
      <c r="B651" s="12"/>
      <c r="C651" s="12"/>
      <c r="D651" s="13"/>
      <c r="E651" s="78"/>
      <c r="F651" s="15"/>
      <c r="G651" s="26"/>
      <c r="H651" s="12" t="b">
        <v>0</v>
      </c>
      <c r="I651" s="28"/>
      <c r="J651" s="12" t="b">
        <v>0</v>
      </c>
    </row>
    <row r="652">
      <c r="A652" s="12"/>
      <c r="B652" s="12"/>
      <c r="C652" s="12"/>
      <c r="D652" s="13"/>
      <c r="E652" s="78"/>
      <c r="F652" s="15"/>
      <c r="G652" s="26"/>
      <c r="H652" s="12" t="b">
        <v>0</v>
      </c>
      <c r="I652" s="28"/>
      <c r="J652" s="12" t="b">
        <v>0</v>
      </c>
    </row>
    <row r="653">
      <c r="A653" s="12"/>
      <c r="B653" s="12"/>
      <c r="C653" s="12"/>
      <c r="D653" s="13"/>
      <c r="E653" s="78"/>
      <c r="F653" s="15"/>
      <c r="G653" s="26"/>
      <c r="H653" s="12" t="b">
        <v>0</v>
      </c>
      <c r="I653" s="28"/>
      <c r="J653" s="12" t="b">
        <v>0</v>
      </c>
    </row>
    <row r="654">
      <c r="A654" s="12"/>
      <c r="B654" s="12"/>
      <c r="C654" s="12"/>
      <c r="D654" s="13"/>
      <c r="E654" s="78"/>
      <c r="F654" s="15"/>
      <c r="G654" s="26"/>
      <c r="H654" s="12" t="b">
        <v>0</v>
      </c>
      <c r="I654" s="28"/>
      <c r="J654" s="12" t="b">
        <v>0</v>
      </c>
    </row>
    <row r="655">
      <c r="A655" s="12"/>
      <c r="B655" s="12"/>
      <c r="C655" s="12"/>
      <c r="D655" s="13"/>
      <c r="E655" s="78"/>
      <c r="F655" s="15"/>
      <c r="G655" s="26"/>
      <c r="H655" s="12" t="b">
        <v>0</v>
      </c>
      <c r="I655" s="28"/>
      <c r="J655" s="12" t="b">
        <v>0</v>
      </c>
    </row>
    <row r="656">
      <c r="A656" s="12"/>
      <c r="B656" s="12"/>
      <c r="C656" s="12"/>
      <c r="D656" s="13"/>
      <c r="E656" s="78"/>
      <c r="F656" s="15"/>
      <c r="G656" s="26"/>
      <c r="H656" s="12" t="b">
        <v>0</v>
      </c>
      <c r="I656" s="28"/>
      <c r="J656" s="12" t="b">
        <v>0</v>
      </c>
    </row>
    <row r="657">
      <c r="A657" s="12"/>
      <c r="B657" s="12"/>
      <c r="C657" s="12"/>
      <c r="D657" s="13"/>
      <c r="E657" s="78"/>
      <c r="F657" s="15"/>
      <c r="G657" s="26"/>
      <c r="H657" s="12" t="b">
        <v>0</v>
      </c>
      <c r="I657" s="28"/>
      <c r="J657" s="12" t="b">
        <v>0</v>
      </c>
    </row>
    <row r="658">
      <c r="A658" s="12"/>
      <c r="B658" s="12"/>
      <c r="C658" s="12"/>
      <c r="D658" s="13"/>
      <c r="E658" s="78"/>
      <c r="F658" s="15"/>
      <c r="G658" s="26"/>
      <c r="H658" s="12" t="b">
        <v>0</v>
      </c>
      <c r="I658" s="28"/>
      <c r="J658" s="12" t="b">
        <v>0</v>
      </c>
    </row>
    <row r="659">
      <c r="A659" s="12"/>
      <c r="B659" s="12"/>
      <c r="C659" s="12"/>
      <c r="D659" s="13"/>
      <c r="E659" s="78"/>
      <c r="F659" s="15"/>
      <c r="G659" s="26"/>
      <c r="H659" s="12" t="b">
        <v>0</v>
      </c>
      <c r="I659" s="28"/>
      <c r="J659" s="12" t="b">
        <v>0</v>
      </c>
    </row>
    <row r="660">
      <c r="A660" s="12"/>
      <c r="B660" s="12"/>
      <c r="C660" s="12"/>
      <c r="D660" s="13"/>
      <c r="E660" s="78"/>
      <c r="F660" s="15"/>
      <c r="G660" s="26"/>
      <c r="H660" s="12" t="b">
        <v>0</v>
      </c>
      <c r="I660" s="28"/>
      <c r="J660" s="12" t="b">
        <v>0</v>
      </c>
    </row>
    <row r="661">
      <c r="A661" s="12"/>
      <c r="B661" s="12"/>
      <c r="C661" s="12"/>
      <c r="D661" s="13"/>
      <c r="E661" s="78"/>
      <c r="F661" s="15"/>
      <c r="G661" s="26"/>
      <c r="H661" s="12" t="b">
        <v>0</v>
      </c>
      <c r="I661" s="28"/>
      <c r="J661" s="12" t="b">
        <v>0</v>
      </c>
    </row>
    <row r="662">
      <c r="A662" s="12"/>
      <c r="B662" s="12"/>
      <c r="C662" s="12"/>
      <c r="D662" s="13"/>
      <c r="E662" s="78"/>
      <c r="F662" s="15"/>
      <c r="G662" s="26"/>
      <c r="H662" s="12" t="b">
        <v>0</v>
      </c>
      <c r="I662" s="28"/>
      <c r="J662" s="12" t="b">
        <v>0</v>
      </c>
    </row>
    <row r="663">
      <c r="A663" s="12"/>
      <c r="B663" s="12"/>
      <c r="C663" s="12"/>
      <c r="D663" s="13"/>
      <c r="E663" s="78"/>
      <c r="F663" s="15"/>
      <c r="G663" s="26"/>
      <c r="H663" s="12" t="b">
        <v>0</v>
      </c>
      <c r="I663" s="28"/>
      <c r="J663" s="12" t="b">
        <v>0</v>
      </c>
    </row>
    <row r="664">
      <c r="A664" s="12"/>
      <c r="B664" s="12"/>
      <c r="C664" s="12"/>
      <c r="D664" s="13"/>
      <c r="E664" s="78"/>
      <c r="F664" s="15"/>
      <c r="G664" s="26"/>
      <c r="H664" s="12" t="b">
        <v>0</v>
      </c>
      <c r="I664" s="28"/>
      <c r="J664" s="12" t="b">
        <v>0</v>
      </c>
    </row>
    <row r="665">
      <c r="A665" s="12"/>
      <c r="B665" s="12"/>
      <c r="C665" s="12"/>
      <c r="D665" s="13"/>
      <c r="E665" s="78"/>
      <c r="F665" s="15"/>
      <c r="G665" s="26"/>
      <c r="H665" s="12" t="b">
        <v>0</v>
      </c>
      <c r="I665" s="28"/>
      <c r="J665" s="12" t="b">
        <v>0</v>
      </c>
    </row>
    <row r="666">
      <c r="A666" s="12"/>
      <c r="B666" s="12"/>
      <c r="C666" s="12"/>
      <c r="D666" s="13"/>
      <c r="E666" s="78"/>
      <c r="F666" s="15"/>
      <c r="G666" s="26"/>
      <c r="H666" s="12" t="b">
        <v>0</v>
      </c>
      <c r="I666" s="28"/>
      <c r="J666" s="12" t="b">
        <v>0</v>
      </c>
    </row>
    <row r="667">
      <c r="A667" s="12"/>
      <c r="B667" s="12"/>
      <c r="C667" s="12"/>
      <c r="D667" s="13"/>
      <c r="E667" s="78"/>
      <c r="F667" s="15"/>
      <c r="G667" s="26"/>
      <c r="H667" s="12" t="b">
        <v>0</v>
      </c>
      <c r="I667" s="28"/>
      <c r="J667" s="12" t="b">
        <v>0</v>
      </c>
    </row>
    <row r="668">
      <c r="A668" s="12"/>
      <c r="B668" s="12"/>
      <c r="C668" s="12"/>
      <c r="D668" s="13"/>
      <c r="E668" s="78"/>
      <c r="F668" s="15"/>
      <c r="G668" s="26"/>
      <c r="H668" s="12" t="b">
        <v>0</v>
      </c>
      <c r="I668" s="28"/>
      <c r="J668" s="12" t="b">
        <v>0</v>
      </c>
    </row>
    <row r="669">
      <c r="A669" s="12"/>
      <c r="B669" s="12"/>
      <c r="C669" s="12"/>
      <c r="D669" s="13"/>
      <c r="E669" s="78"/>
      <c r="F669" s="15"/>
      <c r="G669" s="26"/>
      <c r="H669" s="12" t="b">
        <v>0</v>
      </c>
      <c r="I669" s="28"/>
      <c r="J669" s="12" t="b">
        <v>0</v>
      </c>
    </row>
    <row r="670">
      <c r="A670" s="12"/>
      <c r="B670" s="12"/>
      <c r="C670" s="12"/>
      <c r="D670" s="13"/>
      <c r="E670" s="78"/>
      <c r="F670" s="15"/>
      <c r="G670" s="26"/>
      <c r="H670" s="12" t="b">
        <v>0</v>
      </c>
      <c r="I670" s="28"/>
      <c r="J670" s="12" t="b">
        <v>0</v>
      </c>
    </row>
    <row r="671">
      <c r="A671" s="12"/>
      <c r="B671" s="12"/>
      <c r="C671" s="12"/>
      <c r="D671" s="13"/>
      <c r="E671" s="78"/>
      <c r="F671" s="15"/>
      <c r="G671" s="26"/>
      <c r="H671" s="12" t="b">
        <v>0</v>
      </c>
      <c r="I671" s="28"/>
      <c r="J671" s="12" t="b">
        <v>0</v>
      </c>
    </row>
    <row r="672">
      <c r="A672" s="12"/>
      <c r="B672" s="12"/>
      <c r="C672" s="12"/>
      <c r="D672" s="13"/>
      <c r="E672" s="78"/>
      <c r="F672" s="15"/>
      <c r="G672" s="26"/>
      <c r="H672" s="12" t="b">
        <v>0</v>
      </c>
      <c r="I672" s="28"/>
      <c r="J672" s="12" t="b">
        <v>0</v>
      </c>
    </row>
    <row r="673">
      <c r="A673" s="12"/>
      <c r="B673" s="12"/>
      <c r="C673" s="12"/>
      <c r="D673" s="13"/>
      <c r="E673" s="78"/>
      <c r="F673" s="15"/>
      <c r="G673" s="26"/>
      <c r="H673" s="12" t="b">
        <v>0</v>
      </c>
      <c r="I673" s="28"/>
      <c r="J673" s="12" t="b">
        <v>0</v>
      </c>
    </row>
    <row r="674">
      <c r="A674" s="12"/>
      <c r="B674" s="12"/>
      <c r="C674" s="12"/>
      <c r="D674" s="13"/>
      <c r="E674" s="78"/>
      <c r="F674" s="15"/>
      <c r="G674" s="26"/>
      <c r="H674" s="12" t="b">
        <v>0</v>
      </c>
      <c r="I674" s="28"/>
      <c r="J674" s="12" t="b">
        <v>0</v>
      </c>
    </row>
    <row r="675">
      <c r="A675" s="12"/>
      <c r="B675" s="12"/>
      <c r="C675" s="12"/>
      <c r="D675" s="13"/>
      <c r="E675" s="78"/>
      <c r="F675" s="15"/>
      <c r="G675" s="26"/>
      <c r="H675" s="12" t="b">
        <v>0</v>
      </c>
      <c r="I675" s="28"/>
      <c r="J675" s="12" t="b">
        <v>0</v>
      </c>
    </row>
    <row r="676">
      <c r="A676" s="12"/>
      <c r="B676" s="12"/>
      <c r="C676" s="12"/>
      <c r="D676" s="13"/>
      <c r="E676" s="78"/>
      <c r="F676" s="15"/>
      <c r="G676" s="26"/>
      <c r="H676" s="12" t="b">
        <v>0</v>
      </c>
      <c r="I676" s="28"/>
      <c r="J676" s="12" t="b">
        <v>0</v>
      </c>
    </row>
    <row r="677">
      <c r="A677" s="12"/>
      <c r="B677" s="12"/>
      <c r="C677" s="12"/>
      <c r="D677" s="13"/>
      <c r="E677" s="78"/>
      <c r="F677" s="15"/>
      <c r="G677" s="26"/>
      <c r="H677" s="12" t="b">
        <v>0</v>
      </c>
      <c r="I677" s="28"/>
      <c r="J677" s="12" t="b">
        <v>0</v>
      </c>
    </row>
    <row r="678">
      <c r="A678" s="12"/>
      <c r="B678" s="12"/>
      <c r="C678" s="12"/>
      <c r="D678" s="13"/>
      <c r="E678" s="78"/>
      <c r="F678" s="15"/>
      <c r="G678" s="26"/>
      <c r="H678" s="12" t="b">
        <v>0</v>
      </c>
      <c r="I678" s="28"/>
      <c r="J678" s="12" t="b">
        <v>0</v>
      </c>
    </row>
    <row r="679">
      <c r="A679" s="12"/>
      <c r="B679" s="12"/>
      <c r="C679" s="12"/>
      <c r="D679" s="13"/>
      <c r="E679" s="78"/>
      <c r="F679" s="15"/>
      <c r="G679" s="26"/>
      <c r="H679" s="12" t="b">
        <v>0</v>
      </c>
      <c r="I679" s="28"/>
      <c r="J679" s="12" t="b">
        <v>0</v>
      </c>
    </row>
    <row r="680">
      <c r="A680" s="12"/>
      <c r="B680" s="12"/>
      <c r="C680" s="12"/>
      <c r="D680" s="13"/>
      <c r="E680" s="78"/>
      <c r="F680" s="15"/>
      <c r="G680" s="26"/>
      <c r="H680" s="12" t="b">
        <v>0</v>
      </c>
      <c r="I680" s="28"/>
      <c r="J680" s="12" t="b">
        <v>0</v>
      </c>
    </row>
    <row r="681">
      <c r="A681" s="12"/>
      <c r="B681" s="12"/>
      <c r="C681" s="12"/>
      <c r="D681" s="13"/>
      <c r="E681" s="78"/>
      <c r="F681" s="15"/>
      <c r="G681" s="26"/>
      <c r="H681" s="12" t="b">
        <v>0</v>
      </c>
      <c r="I681" s="28"/>
      <c r="J681" s="12" t="b">
        <v>0</v>
      </c>
    </row>
    <row r="682">
      <c r="A682" s="12"/>
      <c r="B682" s="12"/>
      <c r="C682" s="12"/>
      <c r="D682" s="13"/>
      <c r="E682" s="78"/>
      <c r="F682" s="15"/>
      <c r="G682" s="26"/>
      <c r="H682" s="12" t="b">
        <v>0</v>
      </c>
      <c r="I682" s="28"/>
      <c r="J682" s="12" t="b">
        <v>0</v>
      </c>
    </row>
    <row r="683">
      <c r="A683" s="12"/>
      <c r="B683" s="12"/>
      <c r="C683" s="12"/>
      <c r="D683" s="13"/>
      <c r="E683" s="78"/>
      <c r="F683" s="15"/>
      <c r="G683" s="26"/>
      <c r="H683" s="12" t="b">
        <v>0</v>
      </c>
      <c r="I683" s="28"/>
      <c r="J683" s="12" t="b">
        <v>0</v>
      </c>
    </row>
    <row r="684">
      <c r="A684" s="12"/>
      <c r="B684" s="12"/>
      <c r="C684" s="12"/>
      <c r="D684" s="13"/>
      <c r="E684" s="78"/>
      <c r="F684" s="15"/>
      <c r="G684" s="26"/>
      <c r="H684" s="12" t="b">
        <v>0</v>
      </c>
      <c r="I684" s="28"/>
      <c r="J684" s="12" t="b">
        <v>0</v>
      </c>
    </row>
    <row r="685">
      <c r="A685" s="12"/>
      <c r="B685" s="12"/>
      <c r="C685" s="12"/>
      <c r="D685" s="13"/>
      <c r="E685" s="78"/>
      <c r="F685" s="15"/>
      <c r="G685" s="26"/>
      <c r="H685" s="12" t="b">
        <v>0</v>
      </c>
      <c r="I685" s="28"/>
      <c r="J685" s="12" t="b">
        <v>0</v>
      </c>
    </row>
    <row r="686">
      <c r="A686" s="12"/>
      <c r="B686" s="12"/>
      <c r="C686" s="12"/>
      <c r="D686" s="13"/>
      <c r="E686" s="78"/>
      <c r="F686" s="15"/>
      <c r="G686" s="26"/>
      <c r="H686" s="12" t="b">
        <v>0</v>
      </c>
      <c r="I686" s="28"/>
      <c r="J686" s="12" t="b">
        <v>0</v>
      </c>
    </row>
    <row r="687">
      <c r="A687" s="12"/>
      <c r="B687" s="12"/>
      <c r="C687" s="12"/>
      <c r="D687" s="13"/>
      <c r="E687" s="78"/>
      <c r="F687" s="15"/>
      <c r="G687" s="26"/>
      <c r="H687" s="12" t="b">
        <v>0</v>
      </c>
      <c r="I687" s="28"/>
      <c r="J687" s="12" t="b">
        <v>0</v>
      </c>
    </row>
    <row r="688">
      <c r="A688" s="12"/>
      <c r="B688" s="12"/>
      <c r="C688" s="12"/>
      <c r="D688" s="13"/>
      <c r="E688" s="78"/>
      <c r="F688" s="15"/>
      <c r="G688" s="26"/>
      <c r="H688" s="12" t="b">
        <v>0</v>
      </c>
      <c r="I688" s="28"/>
      <c r="J688" s="12" t="b">
        <v>0</v>
      </c>
    </row>
    <row r="689">
      <c r="A689" s="12"/>
      <c r="B689" s="12"/>
      <c r="C689" s="12"/>
      <c r="D689" s="13"/>
      <c r="E689" s="78"/>
      <c r="F689" s="15"/>
      <c r="G689" s="26"/>
      <c r="H689" s="12" t="b">
        <v>0</v>
      </c>
      <c r="I689" s="28"/>
      <c r="J689" s="12" t="b">
        <v>0</v>
      </c>
    </row>
    <row r="690">
      <c r="A690" s="12"/>
      <c r="B690" s="12"/>
      <c r="C690" s="12"/>
      <c r="D690" s="13"/>
      <c r="E690" s="78"/>
      <c r="F690" s="15"/>
      <c r="G690" s="26"/>
      <c r="H690" s="12" t="b">
        <v>0</v>
      </c>
      <c r="I690" s="28"/>
      <c r="J690" s="12" t="b">
        <v>0</v>
      </c>
    </row>
    <row r="691">
      <c r="A691" s="12"/>
      <c r="B691" s="12"/>
      <c r="C691" s="12"/>
      <c r="D691" s="13"/>
      <c r="E691" s="78"/>
      <c r="F691" s="15"/>
      <c r="G691" s="26"/>
      <c r="H691" s="12" t="b">
        <v>0</v>
      </c>
      <c r="I691" s="28"/>
      <c r="J691" s="12" t="b">
        <v>0</v>
      </c>
    </row>
    <row r="692">
      <c r="A692" s="12"/>
      <c r="B692" s="12"/>
      <c r="C692" s="12"/>
      <c r="D692" s="13"/>
      <c r="E692" s="78"/>
      <c r="F692" s="15"/>
      <c r="G692" s="26"/>
      <c r="H692" s="12" t="b">
        <v>0</v>
      </c>
      <c r="I692" s="28"/>
      <c r="J692" s="12" t="b">
        <v>0</v>
      </c>
    </row>
    <row r="693">
      <c r="A693" s="12"/>
      <c r="B693" s="12"/>
      <c r="C693" s="12"/>
      <c r="D693" s="13"/>
      <c r="E693" s="78"/>
      <c r="F693" s="15"/>
      <c r="G693" s="26"/>
      <c r="H693" s="12" t="b">
        <v>0</v>
      </c>
      <c r="I693" s="28"/>
      <c r="J693" s="12" t="b">
        <v>0</v>
      </c>
    </row>
    <row r="694">
      <c r="A694" s="12"/>
      <c r="B694" s="12"/>
      <c r="C694" s="12"/>
      <c r="D694" s="13"/>
      <c r="E694" s="78"/>
      <c r="F694" s="15"/>
      <c r="G694" s="26"/>
      <c r="H694" s="12" t="b">
        <v>0</v>
      </c>
      <c r="I694" s="28"/>
      <c r="J694" s="12" t="b">
        <v>0</v>
      </c>
    </row>
    <row r="695">
      <c r="A695" s="12"/>
      <c r="B695" s="12"/>
      <c r="C695" s="12"/>
      <c r="D695" s="13"/>
      <c r="E695" s="78"/>
      <c r="F695" s="15"/>
      <c r="G695" s="26"/>
      <c r="H695" s="12" t="b">
        <v>0</v>
      </c>
      <c r="I695" s="28"/>
      <c r="J695" s="12" t="b">
        <v>0</v>
      </c>
    </row>
    <row r="696">
      <c r="A696" s="12"/>
      <c r="B696" s="12"/>
      <c r="C696" s="12"/>
      <c r="D696" s="13"/>
      <c r="E696" s="78"/>
      <c r="F696" s="15"/>
      <c r="G696" s="26"/>
      <c r="H696" s="12" t="b">
        <v>0</v>
      </c>
      <c r="I696" s="28"/>
      <c r="J696" s="12" t="b">
        <v>0</v>
      </c>
    </row>
    <row r="697">
      <c r="A697" s="12"/>
      <c r="B697" s="12"/>
      <c r="C697" s="12"/>
      <c r="D697" s="13"/>
      <c r="E697" s="78"/>
      <c r="F697" s="15"/>
      <c r="G697" s="26"/>
      <c r="H697" s="12" t="b">
        <v>0</v>
      </c>
      <c r="I697" s="28"/>
      <c r="J697" s="12" t="b">
        <v>0</v>
      </c>
    </row>
    <row r="698">
      <c r="A698" s="12"/>
      <c r="B698" s="12"/>
      <c r="C698" s="12"/>
      <c r="D698" s="13"/>
      <c r="E698" s="78"/>
      <c r="F698" s="15"/>
      <c r="G698" s="26"/>
      <c r="H698" s="12" t="b">
        <v>0</v>
      </c>
      <c r="I698" s="28"/>
      <c r="J698" s="12" t="b">
        <v>0</v>
      </c>
    </row>
    <row r="699">
      <c r="A699" s="12"/>
      <c r="B699" s="12"/>
      <c r="C699" s="12"/>
      <c r="D699" s="13"/>
      <c r="E699" s="78"/>
      <c r="F699" s="15"/>
      <c r="G699" s="26"/>
      <c r="H699" s="12" t="b">
        <v>0</v>
      </c>
      <c r="I699" s="28"/>
      <c r="J699" s="12" t="b">
        <v>0</v>
      </c>
    </row>
    <row r="700">
      <c r="A700" s="12"/>
      <c r="B700" s="12"/>
      <c r="C700" s="12"/>
      <c r="D700" s="13"/>
      <c r="E700" s="78"/>
      <c r="F700" s="15"/>
      <c r="G700" s="26"/>
      <c r="H700" s="12" t="b">
        <v>0</v>
      </c>
      <c r="I700" s="28"/>
      <c r="J700" s="12" t="b">
        <v>0</v>
      </c>
    </row>
    <row r="701">
      <c r="A701" s="12"/>
      <c r="B701" s="12"/>
      <c r="C701" s="12"/>
      <c r="D701" s="13"/>
      <c r="E701" s="78"/>
      <c r="F701" s="15"/>
      <c r="G701" s="26"/>
      <c r="H701" s="12" t="b">
        <v>0</v>
      </c>
      <c r="I701" s="28"/>
      <c r="J701" s="12" t="b">
        <v>0</v>
      </c>
    </row>
    <row r="702">
      <c r="A702" s="12"/>
      <c r="B702" s="12"/>
      <c r="C702" s="12"/>
      <c r="D702" s="13"/>
      <c r="E702" s="78"/>
      <c r="F702" s="15"/>
      <c r="G702" s="26"/>
      <c r="H702" s="12" t="b">
        <v>0</v>
      </c>
      <c r="I702" s="28"/>
      <c r="J702" s="12" t="b">
        <v>0</v>
      </c>
    </row>
    <row r="703">
      <c r="A703" s="12"/>
      <c r="B703" s="12"/>
      <c r="C703" s="12"/>
      <c r="D703" s="13"/>
      <c r="E703" s="78"/>
      <c r="F703" s="15"/>
      <c r="G703" s="26"/>
      <c r="H703" s="12" t="b">
        <v>0</v>
      </c>
      <c r="I703" s="28"/>
      <c r="J703" s="12" t="b">
        <v>0</v>
      </c>
    </row>
    <row r="704">
      <c r="A704" s="12"/>
      <c r="B704" s="12"/>
      <c r="C704" s="12"/>
      <c r="D704" s="13"/>
      <c r="E704" s="78"/>
      <c r="F704" s="15"/>
      <c r="G704" s="26"/>
      <c r="H704" s="12" t="b">
        <v>0</v>
      </c>
      <c r="I704" s="28"/>
      <c r="J704" s="12" t="b">
        <v>0</v>
      </c>
    </row>
    <row r="705">
      <c r="A705" s="12"/>
      <c r="B705" s="12"/>
      <c r="C705" s="12"/>
      <c r="D705" s="13"/>
      <c r="E705" s="78"/>
      <c r="F705" s="15"/>
      <c r="G705" s="26"/>
      <c r="H705" s="12" t="b">
        <v>0</v>
      </c>
      <c r="I705" s="28"/>
      <c r="J705" s="12" t="b">
        <v>0</v>
      </c>
    </row>
    <row r="706">
      <c r="A706" s="12"/>
      <c r="B706" s="12"/>
      <c r="C706" s="12"/>
      <c r="D706" s="13"/>
      <c r="E706" s="78"/>
      <c r="F706" s="15"/>
      <c r="G706" s="26"/>
      <c r="H706" s="12" t="b">
        <v>0</v>
      </c>
      <c r="I706" s="28"/>
      <c r="J706" s="12" t="b">
        <v>0</v>
      </c>
    </row>
    <row r="707">
      <c r="A707" s="12"/>
      <c r="B707" s="12"/>
      <c r="C707" s="12"/>
      <c r="D707" s="13"/>
      <c r="E707" s="78"/>
      <c r="F707" s="15"/>
      <c r="G707" s="26"/>
      <c r="H707" s="12" t="b">
        <v>0</v>
      </c>
      <c r="I707" s="28"/>
      <c r="J707" s="12" t="b">
        <v>0</v>
      </c>
    </row>
    <row r="708">
      <c r="A708" s="12"/>
      <c r="B708" s="12"/>
      <c r="C708" s="12"/>
      <c r="D708" s="13"/>
      <c r="E708" s="78"/>
      <c r="F708" s="15"/>
      <c r="G708" s="26"/>
      <c r="H708" s="12" t="b">
        <v>0</v>
      </c>
      <c r="I708" s="28"/>
      <c r="J708" s="12" t="b">
        <v>0</v>
      </c>
    </row>
    <row r="709">
      <c r="A709" s="12"/>
      <c r="B709" s="12"/>
      <c r="C709" s="12"/>
      <c r="D709" s="13"/>
      <c r="E709" s="78"/>
      <c r="F709" s="15"/>
      <c r="G709" s="26"/>
      <c r="H709" s="12" t="b">
        <v>0</v>
      </c>
      <c r="I709" s="28"/>
      <c r="J709" s="12" t="b">
        <v>0</v>
      </c>
    </row>
    <row r="710">
      <c r="A710" s="12"/>
      <c r="B710" s="12"/>
      <c r="C710" s="12"/>
      <c r="D710" s="13"/>
      <c r="E710" s="78"/>
      <c r="F710" s="15"/>
      <c r="G710" s="26"/>
      <c r="H710" s="12" t="b">
        <v>0</v>
      </c>
      <c r="I710" s="28"/>
      <c r="J710" s="12" t="b">
        <v>0</v>
      </c>
    </row>
    <row r="711">
      <c r="A711" s="12"/>
      <c r="B711" s="12"/>
      <c r="C711" s="12"/>
      <c r="D711" s="13"/>
      <c r="E711" s="78"/>
      <c r="F711" s="15"/>
      <c r="G711" s="26"/>
      <c r="H711" s="12" t="b">
        <v>0</v>
      </c>
      <c r="I711" s="28"/>
      <c r="J711" s="12" t="b">
        <v>0</v>
      </c>
    </row>
    <row r="712">
      <c r="A712" s="12"/>
      <c r="B712" s="12"/>
      <c r="C712" s="12"/>
      <c r="D712" s="13"/>
      <c r="E712" s="78"/>
      <c r="F712" s="15"/>
      <c r="G712" s="26"/>
      <c r="H712" s="12" t="b">
        <v>0</v>
      </c>
      <c r="I712" s="28"/>
      <c r="J712" s="12" t="b">
        <v>0</v>
      </c>
    </row>
    <row r="713">
      <c r="A713" s="12"/>
      <c r="B713" s="12"/>
      <c r="C713" s="12"/>
      <c r="D713" s="13"/>
      <c r="E713" s="78"/>
      <c r="F713" s="15"/>
      <c r="G713" s="26"/>
      <c r="H713" s="12" t="b">
        <v>0</v>
      </c>
      <c r="I713" s="28"/>
      <c r="J713" s="12" t="b">
        <v>0</v>
      </c>
    </row>
    <row r="714">
      <c r="A714" s="12"/>
      <c r="B714" s="12"/>
      <c r="C714" s="12"/>
      <c r="D714" s="13"/>
      <c r="E714" s="78"/>
      <c r="F714" s="15"/>
      <c r="G714" s="26"/>
      <c r="H714" s="12" t="b">
        <v>0</v>
      </c>
      <c r="I714" s="28"/>
      <c r="J714" s="12" t="b">
        <v>0</v>
      </c>
    </row>
    <row r="715">
      <c r="A715" s="12"/>
      <c r="B715" s="12"/>
      <c r="C715" s="12"/>
      <c r="D715" s="13"/>
      <c r="E715" s="78"/>
      <c r="F715" s="15"/>
      <c r="G715" s="26"/>
      <c r="H715" s="12" t="b">
        <v>0</v>
      </c>
      <c r="I715" s="28"/>
      <c r="J715" s="12" t="b">
        <v>0</v>
      </c>
    </row>
    <row r="716">
      <c r="A716" s="12"/>
      <c r="B716" s="12"/>
      <c r="C716" s="12"/>
      <c r="D716" s="13"/>
      <c r="E716" s="78"/>
      <c r="F716" s="15"/>
      <c r="G716" s="26"/>
      <c r="H716" s="12" t="b">
        <v>0</v>
      </c>
      <c r="I716" s="28"/>
      <c r="J716" s="12" t="b">
        <v>0</v>
      </c>
    </row>
    <row r="717">
      <c r="A717" s="12"/>
      <c r="B717" s="12"/>
      <c r="C717" s="12"/>
      <c r="D717" s="13"/>
      <c r="E717" s="78"/>
      <c r="F717" s="15"/>
      <c r="G717" s="26"/>
      <c r="H717" s="12" t="b">
        <v>0</v>
      </c>
      <c r="I717" s="28"/>
      <c r="J717" s="12" t="b">
        <v>0</v>
      </c>
    </row>
    <row r="718">
      <c r="A718" s="12"/>
      <c r="B718" s="12"/>
      <c r="C718" s="12"/>
      <c r="D718" s="13"/>
      <c r="E718" s="78"/>
      <c r="F718" s="15"/>
      <c r="G718" s="26"/>
      <c r="H718" s="12" t="b">
        <v>0</v>
      </c>
      <c r="I718" s="28"/>
      <c r="J718" s="12" t="b">
        <v>0</v>
      </c>
    </row>
    <row r="719">
      <c r="A719" s="12"/>
      <c r="B719" s="12"/>
      <c r="C719" s="12"/>
      <c r="D719" s="13"/>
      <c r="E719" s="78"/>
      <c r="F719" s="15"/>
      <c r="G719" s="26"/>
      <c r="H719" s="12" t="b">
        <v>0</v>
      </c>
      <c r="I719" s="28"/>
      <c r="J719" s="12" t="b">
        <v>0</v>
      </c>
    </row>
    <row r="720">
      <c r="A720" s="12"/>
      <c r="B720" s="12"/>
      <c r="C720" s="12"/>
      <c r="D720" s="13"/>
      <c r="E720" s="78"/>
      <c r="F720" s="15"/>
      <c r="G720" s="26"/>
      <c r="H720" s="12" t="b">
        <v>0</v>
      </c>
      <c r="I720" s="28"/>
      <c r="J720" s="12" t="b">
        <v>0</v>
      </c>
    </row>
    <row r="721">
      <c r="A721" s="12"/>
      <c r="B721" s="12"/>
      <c r="C721" s="12"/>
      <c r="D721" s="13"/>
      <c r="E721" s="78"/>
      <c r="F721" s="15"/>
      <c r="G721" s="26"/>
      <c r="H721" s="12" t="b">
        <v>0</v>
      </c>
      <c r="I721" s="28"/>
      <c r="J721" s="12" t="b">
        <v>0</v>
      </c>
    </row>
    <row r="722">
      <c r="A722" s="12"/>
      <c r="B722" s="12"/>
      <c r="C722" s="12"/>
      <c r="D722" s="13"/>
      <c r="E722" s="78"/>
      <c r="F722" s="15"/>
      <c r="G722" s="26"/>
      <c r="H722" s="12" t="b">
        <v>0</v>
      </c>
      <c r="I722" s="28"/>
      <c r="J722" s="12" t="b">
        <v>0</v>
      </c>
    </row>
    <row r="723">
      <c r="A723" s="12"/>
      <c r="B723" s="12"/>
      <c r="C723" s="12"/>
      <c r="D723" s="13"/>
      <c r="E723" s="78"/>
      <c r="F723" s="15"/>
      <c r="G723" s="26"/>
      <c r="H723" s="12" t="b">
        <v>0</v>
      </c>
      <c r="I723" s="28"/>
      <c r="J723" s="12" t="b">
        <v>0</v>
      </c>
    </row>
    <row r="724">
      <c r="A724" s="12"/>
      <c r="B724" s="12"/>
      <c r="C724" s="12"/>
      <c r="D724" s="13"/>
      <c r="E724" s="78"/>
      <c r="F724" s="15"/>
      <c r="G724" s="26"/>
      <c r="H724" s="12" t="b">
        <v>0</v>
      </c>
      <c r="I724" s="28"/>
      <c r="J724" s="12" t="b">
        <v>0</v>
      </c>
    </row>
    <row r="725">
      <c r="A725" s="12"/>
      <c r="B725" s="12"/>
      <c r="C725" s="12"/>
      <c r="D725" s="13"/>
      <c r="E725" s="78"/>
      <c r="F725" s="15"/>
      <c r="G725" s="26"/>
      <c r="H725" s="12" t="b">
        <v>0</v>
      </c>
      <c r="I725" s="28"/>
      <c r="J725" s="12" t="b">
        <v>0</v>
      </c>
    </row>
    <row r="726">
      <c r="A726" s="12"/>
      <c r="B726" s="12"/>
      <c r="C726" s="12"/>
      <c r="D726" s="13"/>
      <c r="E726" s="78"/>
      <c r="F726" s="15"/>
      <c r="G726" s="26"/>
      <c r="H726" s="12" t="b">
        <v>0</v>
      </c>
      <c r="I726" s="28"/>
      <c r="J726" s="12" t="b">
        <v>0</v>
      </c>
    </row>
    <row r="727">
      <c r="A727" s="12"/>
      <c r="B727" s="12"/>
      <c r="C727" s="12"/>
      <c r="D727" s="13"/>
      <c r="E727" s="78"/>
      <c r="F727" s="15"/>
      <c r="G727" s="26"/>
      <c r="H727" s="12" t="b">
        <v>0</v>
      </c>
      <c r="I727" s="28"/>
      <c r="J727" s="12" t="b">
        <v>0</v>
      </c>
    </row>
    <row r="728">
      <c r="A728" s="12"/>
      <c r="B728" s="12"/>
      <c r="C728" s="12"/>
      <c r="D728" s="13"/>
      <c r="E728" s="78"/>
      <c r="F728" s="15"/>
      <c r="G728" s="26"/>
      <c r="H728" s="12" t="b">
        <v>0</v>
      </c>
      <c r="I728" s="28"/>
      <c r="J728" s="12" t="b">
        <v>0</v>
      </c>
    </row>
    <row r="729">
      <c r="A729" s="12"/>
      <c r="B729" s="12"/>
      <c r="C729" s="12"/>
      <c r="D729" s="13"/>
      <c r="E729" s="78"/>
      <c r="F729" s="15"/>
      <c r="G729" s="26"/>
      <c r="H729" s="12" t="b">
        <v>0</v>
      </c>
      <c r="I729" s="28"/>
      <c r="J729" s="12" t="b">
        <v>0</v>
      </c>
    </row>
    <row r="730">
      <c r="A730" s="12"/>
      <c r="B730" s="12"/>
      <c r="C730" s="12"/>
      <c r="D730" s="13"/>
      <c r="E730" s="78"/>
      <c r="F730" s="15"/>
      <c r="G730" s="26"/>
      <c r="H730" s="12" t="b">
        <v>0</v>
      </c>
      <c r="I730" s="28"/>
      <c r="J730" s="12" t="b">
        <v>0</v>
      </c>
    </row>
    <row r="731">
      <c r="A731" s="12"/>
      <c r="B731" s="12"/>
      <c r="C731" s="12"/>
      <c r="D731" s="13"/>
      <c r="E731" s="78"/>
      <c r="F731" s="15"/>
      <c r="G731" s="26"/>
      <c r="H731" s="12" t="b">
        <v>0</v>
      </c>
      <c r="I731" s="28"/>
      <c r="J731" s="12" t="b">
        <v>0</v>
      </c>
    </row>
    <row r="732">
      <c r="A732" s="12"/>
      <c r="B732" s="12"/>
      <c r="C732" s="12"/>
      <c r="D732" s="13"/>
      <c r="E732" s="78"/>
      <c r="F732" s="15"/>
      <c r="G732" s="26"/>
      <c r="H732" s="12" t="b">
        <v>0</v>
      </c>
      <c r="I732" s="28"/>
      <c r="J732" s="12" t="b">
        <v>0</v>
      </c>
    </row>
    <row r="733">
      <c r="A733" s="12"/>
      <c r="B733" s="12"/>
      <c r="C733" s="12"/>
      <c r="D733" s="13"/>
      <c r="E733" s="78"/>
      <c r="F733" s="15"/>
      <c r="G733" s="26"/>
      <c r="H733" s="12" t="b">
        <v>0</v>
      </c>
      <c r="I733" s="28"/>
      <c r="J733" s="12" t="b">
        <v>0</v>
      </c>
    </row>
    <row r="734">
      <c r="A734" s="12"/>
      <c r="B734" s="12"/>
      <c r="C734" s="12"/>
      <c r="D734" s="13"/>
      <c r="E734" s="78"/>
      <c r="F734" s="15"/>
      <c r="G734" s="26"/>
      <c r="H734" s="12" t="b">
        <v>0</v>
      </c>
      <c r="I734" s="28"/>
      <c r="J734" s="12" t="b">
        <v>0</v>
      </c>
    </row>
    <row r="735">
      <c r="A735" s="12"/>
      <c r="B735" s="12"/>
      <c r="C735" s="12"/>
      <c r="D735" s="13"/>
      <c r="E735" s="78"/>
      <c r="F735" s="15"/>
      <c r="G735" s="26"/>
      <c r="H735" s="12" t="b">
        <v>0</v>
      </c>
      <c r="I735" s="28"/>
      <c r="J735" s="12" t="b">
        <v>0</v>
      </c>
    </row>
    <row r="736">
      <c r="A736" s="12"/>
      <c r="B736" s="12"/>
      <c r="C736" s="12"/>
      <c r="D736" s="13"/>
      <c r="E736" s="78"/>
      <c r="F736" s="15"/>
      <c r="G736" s="26"/>
      <c r="H736" s="12" t="b">
        <v>0</v>
      </c>
      <c r="I736" s="28"/>
      <c r="J736" s="12" t="b">
        <v>0</v>
      </c>
    </row>
    <row r="737">
      <c r="A737" s="12"/>
      <c r="B737" s="12"/>
      <c r="C737" s="12"/>
      <c r="D737" s="13"/>
      <c r="E737" s="78"/>
      <c r="F737" s="15"/>
      <c r="G737" s="26"/>
      <c r="H737" s="12" t="b">
        <v>0</v>
      </c>
      <c r="I737" s="28"/>
      <c r="J737" s="12" t="b">
        <v>0</v>
      </c>
    </row>
    <row r="738">
      <c r="A738" s="12"/>
      <c r="B738" s="12"/>
      <c r="C738" s="12"/>
      <c r="D738" s="13"/>
      <c r="E738" s="78"/>
      <c r="F738" s="15"/>
      <c r="G738" s="26"/>
      <c r="H738" s="12" t="b">
        <v>0</v>
      </c>
      <c r="I738" s="28"/>
      <c r="J738" s="12" t="b">
        <v>0</v>
      </c>
    </row>
    <row r="739">
      <c r="A739" s="12"/>
      <c r="B739" s="12"/>
      <c r="C739" s="12"/>
      <c r="D739" s="13"/>
      <c r="E739" s="78"/>
      <c r="F739" s="15"/>
      <c r="G739" s="26"/>
      <c r="H739" s="12" t="b">
        <v>0</v>
      </c>
      <c r="I739" s="28"/>
      <c r="J739" s="12" t="b">
        <v>0</v>
      </c>
    </row>
    <row r="740">
      <c r="A740" s="12"/>
      <c r="B740" s="12"/>
      <c r="C740" s="12"/>
      <c r="D740" s="13"/>
      <c r="E740" s="78"/>
      <c r="F740" s="15"/>
      <c r="G740" s="26"/>
      <c r="H740" s="12" t="b">
        <v>0</v>
      </c>
      <c r="I740" s="28"/>
      <c r="J740" s="12" t="b">
        <v>0</v>
      </c>
    </row>
    <row r="741">
      <c r="A741" s="12"/>
      <c r="B741" s="12"/>
      <c r="C741" s="12"/>
      <c r="D741" s="13"/>
      <c r="E741" s="78"/>
      <c r="F741" s="15"/>
      <c r="G741" s="26"/>
      <c r="H741" s="12" t="b">
        <v>0</v>
      </c>
      <c r="I741" s="28"/>
      <c r="J741" s="12" t="b">
        <v>0</v>
      </c>
    </row>
    <row r="742">
      <c r="A742" s="12"/>
      <c r="B742" s="12"/>
      <c r="C742" s="12"/>
      <c r="D742" s="13"/>
      <c r="E742" s="78"/>
      <c r="F742" s="15"/>
      <c r="G742" s="26"/>
      <c r="H742" s="12" t="b">
        <v>0</v>
      </c>
      <c r="I742" s="28"/>
      <c r="J742" s="12" t="b">
        <v>0</v>
      </c>
    </row>
    <row r="743">
      <c r="A743" s="12"/>
      <c r="B743" s="12"/>
      <c r="C743" s="12"/>
      <c r="D743" s="13"/>
      <c r="E743" s="78"/>
      <c r="F743" s="15"/>
      <c r="G743" s="26"/>
      <c r="H743" s="12" t="b">
        <v>0</v>
      </c>
      <c r="I743" s="28"/>
      <c r="J743" s="12" t="b">
        <v>0</v>
      </c>
    </row>
    <row r="744">
      <c r="A744" s="12"/>
      <c r="B744" s="12"/>
      <c r="C744" s="12"/>
      <c r="D744" s="13"/>
      <c r="E744" s="78"/>
      <c r="F744" s="15"/>
      <c r="G744" s="26"/>
      <c r="H744" s="12" t="b">
        <v>0</v>
      </c>
      <c r="I744" s="28"/>
      <c r="J744" s="12" t="b">
        <v>0</v>
      </c>
    </row>
    <row r="745">
      <c r="A745" s="12"/>
      <c r="B745" s="12"/>
      <c r="C745" s="12"/>
      <c r="D745" s="13"/>
      <c r="E745" s="78"/>
      <c r="F745" s="15"/>
      <c r="G745" s="26"/>
      <c r="H745" s="12" t="b">
        <v>0</v>
      </c>
      <c r="I745" s="28"/>
      <c r="J745" s="12" t="b">
        <v>0</v>
      </c>
    </row>
    <row r="746">
      <c r="A746" s="12"/>
      <c r="B746" s="12"/>
      <c r="C746" s="12"/>
      <c r="D746" s="13"/>
      <c r="E746" s="78"/>
      <c r="F746" s="15"/>
      <c r="G746" s="26"/>
      <c r="H746" s="12" t="b">
        <v>0</v>
      </c>
      <c r="I746" s="28"/>
      <c r="J746" s="12" t="b">
        <v>0</v>
      </c>
    </row>
    <row r="747">
      <c r="A747" s="12"/>
      <c r="B747" s="12"/>
      <c r="C747" s="12"/>
      <c r="D747" s="13"/>
      <c r="E747" s="78"/>
      <c r="F747" s="15"/>
      <c r="G747" s="26"/>
      <c r="H747" s="12" t="b">
        <v>0</v>
      </c>
      <c r="I747" s="28"/>
      <c r="J747" s="12" t="b">
        <v>0</v>
      </c>
    </row>
    <row r="748">
      <c r="A748" s="12"/>
      <c r="B748" s="12"/>
      <c r="C748" s="12"/>
      <c r="D748" s="13"/>
      <c r="E748" s="78"/>
      <c r="F748" s="15"/>
      <c r="G748" s="26"/>
      <c r="H748" s="12" t="b">
        <v>0</v>
      </c>
      <c r="I748" s="28"/>
      <c r="J748" s="12" t="b">
        <v>0</v>
      </c>
    </row>
    <row r="749">
      <c r="A749" s="12"/>
      <c r="B749" s="12"/>
      <c r="C749" s="12"/>
      <c r="D749" s="13"/>
      <c r="E749" s="78"/>
      <c r="F749" s="15"/>
      <c r="G749" s="26"/>
      <c r="H749" s="12" t="b">
        <v>0</v>
      </c>
      <c r="I749" s="28"/>
      <c r="J749" s="12" t="b">
        <v>0</v>
      </c>
    </row>
    <row r="750">
      <c r="A750" s="12"/>
      <c r="B750" s="12"/>
      <c r="C750" s="12"/>
      <c r="D750" s="13"/>
      <c r="E750" s="78"/>
      <c r="F750" s="15"/>
      <c r="G750" s="26"/>
      <c r="H750" s="12" t="b">
        <v>0</v>
      </c>
      <c r="I750" s="28"/>
      <c r="J750" s="12" t="b">
        <v>0</v>
      </c>
    </row>
    <row r="751">
      <c r="A751" s="12"/>
      <c r="B751" s="12"/>
      <c r="C751" s="12"/>
      <c r="D751" s="13"/>
      <c r="E751" s="78"/>
      <c r="F751" s="15"/>
      <c r="G751" s="26"/>
      <c r="H751" s="12" t="b">
        <v>0</v>
      </c>
      <c r="I751" s="28"/>
      <c r="J751" s="12" t="b">
        <v>0</v>
      </c>
    </row>
    <row r="752">
      <c r="A752" s="12"/>
      <c r="B752" s="12"/>
      <c r="C752" s="12"/>
      <c r="D752" s="13"/>
      <c r="E752" s="78"/>
      <c r="F752" s="15"/>
      <c r="G752" s="26"/>
      <c r="H752" s="12" t="b">
        <v>0</v>
      </c>
      <c r="I752" s="28"/>
      <c r="J752" s="12" t="b">
        <v>0</v>
      </c>
    </row>
    <row r="753">
      <c r="A753" s="12"/>
      <c r="B753" s="12"/>
      <c r="C753" s="12"/>
      <c r="D753" s="13"/>
      <c r="E753" s="78"/>
      <c r="F753" s="15"/>
      <c r="G753" s="26"/>
      <c r="H753" s="12" t="b">
        <v>0</v>
      </c>
      <c r="I753" s="28"/>
      <c r="J753" s="12" t="b">
        <v>0</v>
      </c>
    </row>
    <row r="754">
      <c r="A754" s="12"/>
      <c r="B754" s="12"/>
      <c r="C754" s="12"/>
      <c r="D754" s="13"/>
      <c r="E754" s="78"/>
      <c r="F754" s="15"/>
      <c r="G754" s="26"/>
      <c r="H754" s="12" t="b">
        <v>0</v>
      </c>
      <c r="I754" s="28"/>
      <c r="J754" s="12" t="b">
        <v>0</v>
      </c>
    </row>
    <row r="755">
      <c r="A755" s="12"/>
      <c r="B755" s="12"/>
      <c r="C755" s="12"/>
      <c r="D755" s="13"/>
      <c r="E755" s="78"/>
      <c r="F755" s="15"/>
      <c r="G755" s="26"/>
      <c r="H755" s="12" t="b">
        <v>0</v>
      </c>
      <c r="I755" s="28"/>
      <c r="J755" s="12" t="b">
        <v>0</v>
      </c>
    </row>
    <row r="756">
      <c r="A756" s="12"/>
      <c r="B756" s="12"/>
      <c r="C756" s="12"/>
      <c r="D756" s="13"/>
      <c r="E756" s="78"/>
      <c r="F756" s="15"/>
      <c r="G756" s="26"/>
      <c r="H756" s="12" t="b">
        <v>0</v>
      </c>
      <c r="I756" s="28"/>
      <c r="J756" s="12" t="b">
        <v>0</v>
      </c>
    </row>
    <row r="757">
      <c r="A757" s="12"/>
      <c r="B757" s="12"/>
      <c r="C757" s="12"/>
      <c r="D757" s="13"/>
      <c r="E757" s="78"/>
      <c r="F757" s="15"/>
      <c r="G757" s="26"/>
      <c r="H757" s="12" t="b">
        <v>0</v>
      </c>
      <c r="I757" s="28"/>
      <c r="J757" s="12" t="b">
        <v>0</v>
      </c>
    </row>
    <row r="758">
      <c r="A758" s="12"/>
      <c r="B758" s="12"/>
      <c r="C758" s="12"/>
      <c r="D758" s="13"/>
      <c r="E758" s="78"/>
      <c r="F758" s="15"/>
      <c r="G758" s="26"/>
      <c r="H758" s="12" t="b">
        <v>0</v>
      </c>
      <c r="I758" s="28"/>
      <c r="J758" s="12" t="b">
        <v>0</v>
      </c>
    </row>
    <row r="759">
      <c r="A759" s="12"/>
      <c r="B759" s="12"/>
      <c r="C759" s="12"/>
      <c r="D759" s="13"/>
      <c r="E759" s="78"/>
      <c r="F759" s="15"/>
      <c r="G759" s="26"/>
      <c r="H759" s="12" t="b">
        <v>0</v>
      </c>
      <c r="I759" s="28"/>
      <c r="J759" s="12" t="b">
        <v>0</v>
      </c>
    </row>
    <row r="760">
      <c r="A760" s="12"/>
      <c r="B760" s="12"/>
      <c r="C760" s="12"/>
      <c r="D760" s="13"/>
      <c r="E760" s="78"/>
      <c r="F760" s="15"/>
      <c r="G760" s="26"/>
      <c r="H760" s="12" t="b">
        <v>0</v>
      </c>
      <c r="I760" s="28"/>
      <c r="J760" s="12" t="b">
        <v>0</v>
      </c>
    </row>
    <row r="761">
      <c r="A761" s="12"/>
      <c r="B761" s="12"/>
      <c r="C761" s="12"/>
      <c r="D761" s="13"/>
      <c r="E761" s="78"/>
      <c r="F761" s="15"/>
      <c r="G761" s="26"/>
      <c r="H761" s="12" t="b">
        <v>0</v>
      </c>
      <c r="I761" s="28"/>
      <c r="J761" s="12" t="b">
        <v>0</v>
      </c>
    </row>
    <row r="762">
      <c r="A762" s="12"/>
      <c r="B762" s="12"/>
      <c r="C762" s="12"/>
      <c r="D762" s="13"/>
      <c r="E762" s="78"/>
      <c r="F762" s="15"/>
      <c r="G762" s="26"/>
      <c r="H762" s="12" t="b">
        <v>0</v>
      </c>
      <c r="I762" s="28"/>
      <c r="J762" s="12" t="b">
        <v>0</v>
      </c>
    </row>
    <row r="763">
      <c r="A763" s="12"/>
      <c r="B763" s="12"/>
      <c r="C763" s="12"/>
      <c r="D763" s="13"/>
      <c r="E763" s="78"/>
      <c r="F763" s="15"/>
      <c r="G763" s="26"/>
      <c r="H763" s="12" t="b">
        <v>0</v>
      </c>
      <c r="I763" s="28"/>
      <c r="J763" s="12" t="b">
        <v>0</v>
      </c>
    </row>
    <row r="764">
      <c r="A764" s="12"/>
      <c r="B764" s="12"/>
      <c r="C764" s="12"/>
      <c r="D764" s="13"/>
      <c r="E764" s="78"/>
      <c r="F764" s="15"/>
      <c r="G764" s="26"/>
      <c r="H764" s="12" t="b">
        <v>0</v>
      </c>
      <c r="I764" s="28"/>
      <c r="J764" s="12" t="b">
        <v>0</v>
      </c>
    </row>
    <row r="765">
      <c r="A765" s="12"/>
      <c r="B765" s="12"/>
      <c r="C765" s="12"/>
      <c r="D765" s="13"/>
      <c r="E765" s="78"/>
      <c r="F765" s="15"/>
      <c r="G765" s="26"/>
      <c r="H765" s="12" t="b">
        <v>0</v>
      </c>
      <c r="I765" s="28"/>
      <c r="J765" s="12" t="b">
        <v>0</v>
      </c>
    </row>
    <row r="766">
      <c r="A766" s="12"/>
      <c r="B766" s="12"/>
      <c r="C766" s="12"/>
      <c r="D766" s="13"/>
      <c r="E766" s="78"/>
      <c r="F766" s="15"/>
      <c r="G766" s="26"/>
      <c r="H766" s="12" t="b">
        <v>0</v>
      </c>
      <c r="I766" s="28"/>
      <c r="J766" s="12" t="b">
        <v>0</v>
      </c>
    </row>
    <row r="767">
      <c r="A767" s="12"/>
      <c r="B767" s="12"/>
      <c r="C767" s="12"/>
      <c r="D767" s="13"/>
      <c r="E767" s="78"/>
      <c r="F767" s="15"/>
      <c r="G767" s="26"/>
      <c r="H767" s="12" t="b">
        <v>0</v>
      </c>
      <c r="I767" s="28"/>
      <c r="J767" s="12" t="b">
        <v>0</v>
      </c>
    </row>
    <row r="768">
      <c r="A768" s="12"/>
      <c r="B768" s="12"/>
      <c r="C768" s="12"/>
      <c r="D768" s="13"/>
      <c r="E768" s="78"/>
      <c r="F768" s="15"/>
      <c r="G768" s="26"/>
      <c r="H768" s="12" t="b">
        <v>0</v>
      </c>
      <c r="I768" s="28"/>
      <c r="J768" s="12" t="b">
        <v>0</v>
      </c>
    </row>
    <row r="769">
      <c r="A769" s="12"/>
      <c r="B769" s="12"/>
      <c r="C769" s="12"/>
      <c r="D769" s="13"/>
      <c r="E769" s="78"/>
      <c r="F769" s="15"/>
      <c r="G769" s="26"/>
      <c r="H769" s="12" t="b">
        <v>0</v>
      </c>
      <c r="I769" s="28"/>
      <c r="J769" s="12" t="b">
        <v>0</v>
      </c>
    </row>
    <row r="770">
      <c r="A770" s="12"/>
      <c r="B770" s="12"/>
      <c r="C770" s="12"/>
      <c r="D770" s="13"/>
      <c r="E770" s="78"/>
      <c r="F770" s="15"/>
      <c r="G770" s="26"/>
      <c r="H770" s="12" t="b">
        <v>0</v>
      </c>
      <c r="I770" s="28"/>
      <c r="J770" s="12" t="b">
        <v>0</v>
      </c>
    </row>
    <row r="771">
      <c r="A771" s="12"/>
      <c r="B771" s="12"/>
      <c r="C771" s="12"/>
      <c r="D771" s="13"/>
      <c r="E771" s="78"/>
      <c r="F771" s="15"/>
      <c r="G771" s="26"/>
      <c r="H771" s="12" t="b">
        <v>0</v>
      </c>
      <c r="I771" s="28"/>
      <c r="J771" s="12" t="b">
        <v>0</v>
      </c>
    </row>
    <row r="772">
      <c r="A772" s="12"/>
      <c r="B772" s="12"/>
      <c r="C772" s="12"/>
      <c r="D772" s="13"/>
      <c r="E772" s="78"/>
      <c r="F772" s="15"/>
      <c r="G772" s="26"/>
      <c r="H772" s="12" t="b">
        <v>0</v>
      </c>
      <c r="I772" s="28"/>
      <c r="J772" s="12" t="b">
        <v>0</v>
      </c>
    </row>
    <row r="773">
      <c r="A773" s="12"/>
      <c r="B773" s="12"/>
      <c r="C773" s="12"/>
      <c r="D773" s="13"/>
      <c r="E773" s="78"/>
      <c r="F773" s="15"/>
      <c r="G773" s="26"/>
      <c r="H773" s="12" t="b">
        <v>0</v>
      </c>
      <c r="I773" s="28"/>
      <c r="J773" s="12" t="b">
        <v>0</v>
      </c>
    </row>
    <row r="774">
      <c r="A774" s="12"/>
      <c r="B774" s="12"/>
      <c r="C774" s="12"/>
      <c r="D774" s="13"/>
      <c r="E774" s="78"/>
      <c r="F774" s="15"/>
      <c r="G774" s="26"/>
      <c r="H774" s="12" t="b">
        <v>0</v>
      </c>
      <c r="I774" s="28"/>
      <c r="J774" s="12" t="b">
        <v>0</v>
      </c>
    </row>
    <row r="775">
      <c r="A775" s="12"/>
      <c r="B775" s="12"/>
      <c r="C775" s="12"/>
      <c r="D775" s="13"/>
      <c r="E775" s="78"/>
      <c r="F775" s="15"/>
      <c r="G775" s="26"/>
      <c r="H775" s="12" t="b">
        <v>0</v>
      </c>
      <c r="I775" s="28"/>
      <c r="J775" s="12" t="b">
        <v>0</v>
      </c>
    </row>
    <row r="776">
      <c r="A776" s="12"/>
      <c r="B776" s="12"/>
      <c r="C776" s="12"/>
      <c r="D776" s="13"/>
      <c r="E776" s="78"/>
      <c r="F776" s="15"/>
      <c r="G776" s="26"/>
      <c r="H776" s="12" t="b">
        <v>0</v>
      </c>
      <c r="I776" s="28"/>
      <c r="J776" s="12" t="b">
        <v>0</v>
      </c>
    </row>
    <row r="777">
      <c r="A777" s="12"/>
      <c r="B777" s="12"/>
      <c r="C777" s="12"/>
      <c r="D777" s="13"/>
      <c r="E777" s="78"/>
      <c r="F777" s="15"/>
      <c r="G777" s="26"/>
      <c r="H777" s="12" t="b">
        <v>0</v>
      </c>
      <c r="I777" s="28"/>
      <c r="J777" s="12" t="b">
        <v>0</v>
      </c>
    </row>
    <row r="778">
      <c r="A778" s="12"/>
      <c r="B778" s="12"/>
      <c r="C778" s="12"/>
      <c r="D778" s="13"/>
      <c r="E778" s="78"/>
      <c r="F778" s="15"/>
      <c r="G778" s="26"/>
      <c r="H778" s="12" t="b">
        <v>0</v>
      </c>
      <c r="I778" s="28"/>
      <c r="J778" s="12" t="b">
        <v>0</v>
      </c>
    </row>
    <row r="779">
      <c r="A779" s="12"/>
      <c r="B779" s="12"/>
      <c r="C779" s="12"/>
      <c r="D779" s="13"/>
      <c r="E779" s="78"/>
      <c r="F779" s="15"/>
      <c r="G779" s="26"/>
      <c r="H779" s="12" t="b">
        <v>0</v>
      </c>
      <c r="I779" s="28"/>
      <c r="J779" s="12" t="b">
        <v>0</v>
      </c>
    </row>
    <row r="780">
      <c r="A780" s="12"/>
      <c r="B780" s="12"/>
      <c r="C780" s="12"/>
      <c r="D780" s="13"/>
      <c r="E780" s="78"/>
      <c r="F780" s="15"/>
      <c r="G780" s="26"/>
      <c r="H780" s="12" t="b">
        <v>0</v>
      </c>
      <c r="I780" s="28"/>
      <c r="J780" s="12" t="b">
        <v>0</v>
      </c>
    </row>
    <row r="781">
      <c r="A781" s="12"/>
      <c r="B781" s="12"/>
      <c r="C781" s="12"/>
      <c r="D781" s="13"/>
      <c r="E781" s="78"/>
      <c r="F781" s="15"/>
      <c r="G781" s="26"/>
      <c r="H781" s="12" t="b">
        <v>0</v>
      </c>
      <c r="I781" s="28"/>
      <c r="J781" s="12" t="b">
        <v>0</v>
      </c>
    </row>
    <row r="782">
      <c r="A782" s="12"/>
      <c r="B782" s="12"/>
      <c r="C782" s="12"/>
      <c r="D782" s="13"/>
      <c r="E782" s="78"/>
      <c r="F782" s="15"/>
      <c r="G782" s="26"/>
      <c r="H782" s="12" t="b">
        <v>0</v>
      </c>
      <c r="I782" s="28"/>
      <c r="J782" s="12" t="b">
        <v>0</v>
      </c>
    </row>
    <row r="783">
      <c r="A783" s="12"/>
      <c r="B783" s="12"/>
      <c r="C783" s="12"/>
      <c r="D783" s="13"/>
      <c r="E783" s="78"/>
      <c r="F783" s="15"/>
      <c r="G783" s="26"/>
      <c r="H783" s="12" t="b">
        <v>0</v>
      </c>
      <c r="I783" s="28"/>
      <c r="J783" s="12" t="b">
        <v>0</v>
      </c>
    </row>
    <row r="784">
      <c r="A784" s="12"/>
      <c r="B784" s="12"/>
      <c r="C784" s="12"/>
      <c r="D784" s="13"/>
      <c r="E784" s="78"/>
      <c r="F784" s="15"/>
      <c r="G784" s="26"/>
      <c r="H784" s="12" t="b">
        <v>0</v>
      </c>
      <c r="I784" s="28"/>
      <c r="J784" s="12" t="b">
        <v>0</v>
      </c>
    </row>
    <row r="785">
      <c r="A785" s="12"/>
      <c r="B785" s="12"/>
      <c r="C785" s="12"/>
      <c r="D785" s="13"/>
      <c r="E785" s="78"/>
      <c r="F785" s="15"/>
      <c r="G785" s="26"/>
      <c r="H785" s="12" t="b">
        <v>0</v>
      </c>
      <c r="I785" s="28"/>
      <c r="J785" s="12" t="b">
        <v>0</v>
      </c>
    </row>
    <row r="786">
      <c r="A786" s="12"/>
      <c r="B786" s="12"/>
      <c r="C786" s="12"/>
      <c r="D786" s="13"/>
      <c r="E786" s="78"/>
      <c r="F786" s="15"/>
      <c r="G786" s="26"/>
      <c r="H786" s="12" t="b">
        <v>0</v>
      </c>
      <c r="I786" s="28"/>
      <c r="J786" s="12" t="b">
        <v>0</v>
      </c>
    </row>
    <row r="787">
      <c r="A787" s="12"/>
      <c r="B787" s="12"/>
      <c r="C787" s="12"/>
      <c r="D787" s="13"/>
      <c r="E787" s="78"/>
      <c r="F787" s="15"/>
      <c r="G787" s="26"/>
      <c r="H787" s="12" t="b">
        <v>0</v>
      </c>
      <c r="I787" s="28"/>
      <c r="J787" s="12" t="b">
        <v>0</v>
      </c>
    </row>
    <row r="788">
      <c r="A788" s="12"/>
      <c r="B788" s="12"/>
      <c r="C788" s="12"/>
      <c r="D788" s="13"/>
      <c r="E788" s="78"/>
      <c r="F788" s="15"/>
      <c r="G788" s="26"/>
      <c r="H788" s="12" t="b">
        <v>0</v>
      </c>
      <c r="I788" s="28"/>
      <c r="J788" s="12" t="b">
        <v>0</v>
      </c>
    </row>
    <row r="789">
      <c r="A789" s="12"/>
      <c r="B789" s="12"/>
      <c r="C789" s="12"/>
      <c r="D789" s="13"/>
      <c r="E789" s="78"/>
      <c r="F789" s="15"/>
      <c r="G789" s="26"/>
      <c r="H789" s="12" t="b">
        <v>0</v>
      </c>
      <c r="I789" s="28"/>
      <c r="J789" s="12" t="b">
        <v>0</v>
      </c>
    </row>
    <row r="790">
      <c r="A790" s="12"/>
      <c r="B790" s="12"/>
      <c r="C790" s="12"/>
      <c r="D790" s="13"/>
      <c r="E790" s="78"/>
      <c r="F790" s="15"/>
      <c r="G790" s="26"/>
      <c r="H790" s="12" t="b">
        <v>0</v>
      </c>
      <c r="I790" s="28"/>
      <c r="J790" s="12" t="b">
        <v>0</v>
      </c>
    </row>
    <row r="791">
      <c r="A791" s="12"/>
      <c r="B791" s="12"/>
      <c r="C791" s="12"/>
      <c r="D791" s="13"/>
      <c r="E791" s="78"/>
      <c r="F791" s="15"/>
      <c r="G791" s="26"/>
      <c r="H791" s="12" t="b">
        <v>0</v>
      </c>
      <c r="I791" s="28"/>
      <c r="J791" s="12" t="b">
        <v>0</v>
      </c>
    </row>
    <row r="792">
      <c r="A792" s="12"/>
      <c r="B792" s="12"/>
      <c r="C792" s="12"/>
      <c r="D792" s="13"/>
      <c r="E792" s="78"/>
      <c r="F792" s="15"/>
      <c r="G792" s="26"/>
      <c r="H792" s="12" t="b">
        <v>0</v>
      </c>
      <c r="I792" s="28"/>
      <c r="J792" s="12" t="b">
        <v>0</v>
      </c>
    </row>
    <row r="793">
      <c r="A793" s="12"/>
      <c r="B793" s="12"/>
      <c r="C793" s="12"/>
      <c r="D793" s="13"/>
      <c r="E793" s="78"/>
      <c r="F793" s="15"/>
      <c r="G793" s="26"/>
      <c r="H793" s="12" t="b">
        <v>0</v>
      </c>
      <c r="I793" s="28"/>
      <c r="J793" s="12" t="b">
        <v>0</v>
      </c>
    </row>
    <row r="794">
      <c r="A794" s="12"/>
      <c r="B794" s="12"/>
      <c r="C794" s="12"/>
      <c r="D794" s="13"/>
      <c r="E794" s="78"/>
      <c r="F794" s="15"/>
      <c r="G794" s="26"/>
      <c r="H794" s="12" t="b">
        <v>0</v>
      </c>
      <c r="I794" s="28"/>
      <c r="J794" s="12" t="b">
        <v>0</v>
      </c>
    </row>
    <row r="795">
      <c r="A795" s="12"/>
      <c r="B795" s="12"/>
      <c r="C795" s="12"/>
      <c r="D795" s="13"/>
      <c r="E795" s="78"/>
      <c r="F795" s="15"/>
      <c r="G795" s="26"/>
      <c r="H795" s="12" t="b">
        <v>0</v>
      </c>
      <c r="I795" s="28"/>
      <c r="J795" s="12" t="b">
        <v>0</v>
      </c>
    </row>
    <row r="796">
      <c r="A796" s="12"/>
      <c r="B796" s="12"/>
      <c r="C796" s="12"/>
      <c r="D796" s="13"/>
      <c r="E796" s="78"/>
      <c r="F796" s="15"/>
      <c r="G796" s="26"/>
      <c r="H796" s="12" t="b">
        <v>0</v>
      </c>
      <c r="I796" s="28"/>
      <c r="J796" s="12" t="b">
        <v>0</v>
      </c>
    </row>
    <row r="797">
      <c r="A797" s="12"/>
      <c r="B797" s="12"/>
      <c r="C797" s="12"/>
      <c r="D797" s="13"/>
      <c r="E797" s="78"/>
      <c r="F797" s="15"/>
      <c r="G797" s="26"/>
      <c r="H797" s="12" t="b">
        <v>0</v>
      </c>
      <c r="I797" s="28"/>
      <c r="J797" s="12" t="b">
        <v>0</v>
      </c>
    </row>
    <row r="798">
      <c r="A798" s="12"/>
      <c r="B798" s="12"/>
      <c r="C798" s="12"/>
      <c r="D798" s="13"/>
      <c r="E798" s="78"/>
      <c r="F798" s="15"/>
      <c r="G798" s="26"/>
      <c r="H798" s="12" t="b">
        <v>0</v>
      </c>
      <c r="I798" s="28"/>
      <c r="J798" s="12" t="b">
        <v>0</v>
      </c>
    </row>
    <row r="799">
      <c r="A799" s="12"/>
      <c r="B799" s="12"/>
      <c r="C799" s="12"/>
      <c r="D799" s="13"/>
      <c r="E799" s="78"/>
      <c r="F799" s="15"/>
      <c r="G799" s="26"/>
      <c r="H799" s="12" t="b">
        <v>0</v>
      </c>
      <c r="I799" s="28"/>
      <c r="J799" s="12" t="b">
        <v>0</v>
      </c>
    </row>
    <row r="800">
      <c r="A800" s="12"/>
      <c r="B800" s="12"/>
      <c r="C800" s="12"/>
      <c r="D800" s="13"/>
      <c r="E800" s="78"/>
      <c r="F800" s="15"/>
      <c r="G800" s="26"/>
      <c r="H800" s="12" t="b">
        <v>0</v>
      </c>
      <c r="I800" s="28"/>
      <c r="J800" s="12" t="b">
        <v>0</v>
      </c>
    </row>
    <row r="801">
      <c r="A801" s="12"/>
      <c r="B801" s="12"/>
      <c r="C801" s="12"/>
      <c r="D801" s="13"/>
      <c r="E801" s="78"/>
      <c r="F801" s="15"/>
      <c r="G801" s="26"/>
      <c r="H801" s="12" t="b">
        <v>0</v>
      </c>
      <c r="I801" s="28"/>
      <c r="J801" s="12" t="b">
        <v>0</v>
      </c>
    </row>
    <row r="802">
      <c r="A802" s="12"/>
      <c r="B802" s="12"/>
      <c r="C802" s="12"/>
      <c r="D802" s="13"/>
      <c r="E802" s="78"/>
      <c r="F802" s="15"/>
      <c r="G802" s="26"/>
      <c r="H802" s="12" t="b">
        <v>0</v>
      </c>
      <c r="I802" s="28"/>
      <c r="J802" s="12" t="b">
        <v>0</v>
      </c>
    </row>
    <row r="803">
      <c r="A803" s="12"/>
      <c r="B803" s="12"/>
      <c r="C803" s="12"/>
      <c r="D803" s="13"/>
      <c r="E803" s="78"/>
      <c r="F803" s="15"/>
      <c r="G803" s="26"/>
      <c r="H803" s="12" t="b">
        <v>0</v>
      </c>
      <c r="I803" s="28"/>
      <c r="J803" s="12" t="b">
        <v>0</v>
      </c>
    </row>
    <row r="804">
      <c r="A804" s="12"/>
      <c r="B804" s="12"/>
      <c r="C804" s="12"/>
      <c r="D804" s="13"/>
      <c r="E804" s="78"/>
      <c r="F804" s="15"/>
      <c r="G804" s="26"/>
      <c r="H804" s="12" t="b">
        <v>0</v>
      </c>
      <c r="I804" s="28"/>
      <c r="J804" s="12" t="b">
        <v>0</v>
      </c>
    </row>
    <row r="805">
      <c r="A805" s="12"/>
      <c r="B805" s="12"/>
      <c r="C805" s="12"/>
      <c r="D805" s="13"/>
      <c r="E805" s="78"/>
      <c r="F805" s="15"/>
      <c r="G805" s="26"/>
      <c r="H805" s="12" t="b">
        <v>0</v>
      </c>
      <c r="I805" s="28"/>
      <c r="J805" s="12" t="b">
        <v>0</v>
      </c>
    </row>
    <row r="806">
      <c r="A806" s="12"/>
      <c r="B806" s="12"/>
      <c r="C806" s="12"/>
      <c r="D806" s="13"/>
      <c r="E806" s="78"/>
      <c r="F806" s="15"/>
      <c r="G806" s="26"/>
      <c r="H806" s="12" t="b">
        <v>0</v>
      </c>
      <c r="I806" s="28"/>
      <c r="J806" s="12" t="b">
        <v>0</v>
      </c>
    </row>
    <row r="807">
      <c r="A807" s="12"/>
      <c r="B807" s="12"/>
      <c r="C807" s="12"/>
      <c r="D807" s="13"/>
      <c r="E807" s="78"/>
      <c r="F807" s="15"/>
      <c r="G807" s="26"/>
      <c r="H807" s="12" t="b">
        <v>0</v>
      </c>
      <c r="I807" s="28"/>
      <c r="J807" s="12" t="b">
        <v>0</v>
      </c>
    </row>
    <row r="808">
      <c r="A808" s="12"/>
      <c r="B808" s="12"/>
      <c r="C808" s="12"/>
      <c r="D808" s="13"/>
      <c r="E808" s="78"/>
      <c r="F808" s="15"/>
      <c r="G808" s="26"/>
      <c r="H808" s="12" t="b">
        <v>0</v>
      </c>
      <c r="I808" s="28"/>
      <c r="J808" s="12" t="b">
        <v>0</v>
      </c>
    </row>
    <row r="809">
      <c r="A809" s="12"/>
      <c r="B809" s="12"/>
      <c r="C809" s="12"/>
      <c r="D809" s="13"/>
      <c r="E809" s="78"/>
      <c r="F809" s="15"/>
      <c r="G809" s="26"/>
      <c r="H809" s="12" t="b">
        <v>0</v>
      </c>
      <c r="I809" s="28"/>
      <c r="J809" s="12" t="b">
        <v>0</v>
      </c>
    </row>
    <row r="810">
      <c r="A810" s="12"/>
      <c r="B810" s="12"/>
      <c r="C810" s="12"/>
      <c r="D810" s="13"/>
      <c r="E810" s="78"/>
      <c r="F810" s="15"/>
      <c r="G810" s="26"/>
      <c r="H810" s="12" t="b">
        <v>0</v>
      </c>
      <c r="I810" s="28"/>
      <c r="J810" s="12" t="b">
        <v>0</v>
      </c>
    </row>
    <row r="811">
      <c r="A811" s="12"/>
      <c r="B811" s="12"/>
      <c r="C811" s="12"/>
      <c r="D811" s="13"/>
      <c r="E811" s="78"/>
      <c r="F811" s="15"/>
      <c r="G811" s="26"/>
      <c r="H811" s="12" t="b">
        <v>0</v>
      </c>
      <c r="I811" s="28"/>
      <c r="J811" s="12" t="b">
        <v>0</v>
      </c>
    </row>
    <row r="812">
      <c r="A812" s="12"/>
      <c r="B812" s="12"/>
      <c r="C812" s="12"/>
      <c r="D812" s="13"/>
      <c r="E812" s="78"/>
      <c r="F812" s="15"/>
      <c r="G812" s="26"/>
      <c r="H812" s="12" t="b">
        <v>0</v>
      </c>
      <c r="I812" s="28"/>
      <c r="J812" s="12" t="b">
        <v>0</v>
      </c>
    </row>
    <row r="813">
      <c r="A813" s="12"/>
      <c r="B813" s="12"/>
      <c r="C813" s="12"/>
      <c r="D813" s="13"/>
      <c r="E813" s="78"/>
      <c r="F813" s="15"/>
      <c r="G813" s="26"/>
      <c r="H813" s="12" t="b">
        <v>0</v>
      </c>
      <c r="I813" s="28"/>
      <c r="J813" s="12" t="b">
        <v>0</v>
      </c>
    </row>
    <row r="814">
      <c r="A814" s="12"/>
      <c r="B814" s="12"/>
      <c r="C814" s="12"/>
      <c r="D814" s="13"/>
      <c r="E814" s="78"/>
      <c r="F814" s="15"/>
      <c r="G814" s="26"/>
      <c r="H814" s="12" t="b">
        <v>0</v>
      </c>
      <c r="I814" s="28"/>
      <c r="J814" s="12" t="b">
        <v>0</v>
      </c>
    </row>
    <row r="815">
      <c r="A815" s="12"/>
      <c r="B815" s="12"/>
      <c r="C815" s="12"/>
      <c r="D815" s="13"/>
      <c r="E815" s="78"/>
      <c r="F815" s="15"/>
      <c r="G815" s="26"/>
      <c r="H815" s="12" t="b">
        <v>0</v>
      </c>
      <c r="I815" s="28"/>
      <c r="J815" s="12" t="b">
        <v>0</v>
      </c>
    </row>
    <row r="816">
      <c r="A816" s="12"/>
      <c r="B816" s="12"/>
      <c r="C816" s="12"/>
      <c r="D816" s="13"/>
      <c r="E816" s="78"/>
      <c r="F816" s="15"/>
      <c r="G816" s="26"/>
      <c r="H816" s="12" t="b">
        <v>0</v>
      </c>
      <c r="I816" s="28"/>
      <c r="J816" s="12" t="b">
        <v>0</v>
      </c>
    </row>
    <row r="817">
      <c r="A817" s="12"/>
      <c r="B817" s="12"/>
      <c r="C817" s="12"/>
      <c r="D817" s="13"/>
      <c r="E817" s="78"/>
      <c r="F817" s="15"/>
      <c r="G817" s="26"/>
      <c r="H817" s="12" t="b">
        <v>0</v>
      </c>
      <c r="I817" s="28"/>
      <c r="J817" s="12" t="b">
        <v>0</v>
      </c>
    </row>
    <row r="818">
      <c r="A818" s="12"/>
      <c r="B818" s="12"/>
      <c r="C818" s="12"/>
      <c r="D818" s="13"/>
      <c r="E818" s="78"/>
      <c r="F818" s="15"/>
      <c r="G818" s="26"/>
      <c r="H818" s="12" t="b">
        <v>0</v>
      </c>
      <c r="I818" s="28"/>
      <c r="J818" s="12" t="b">
        <v>0</v>
      </c>
    </row>
    <row r="819">
      <c r="A819" s="12"/>
      <c r="B819" s="12"/>
      <c r="C819" s="12"/>
      <c r="D819" s="13"/>
      <c r="E819" s="78"/>
      <c r="F819" s="15"/>
      <c r="G819" s="26"/>
      <c r="H819" s="12" t="b">
        <v>0</v>
      </c>
      <c r="I819" s="28"/>
      <c r="J819" s="12" t="b">
        <v>0</v>
      </c>
    </row>
    <row r="820">
      <c r="A820" s="12"/>
      <c r="B820" s="12"/>
      <c r="C820" s="12"/>
      <c r="D820" s="13"/>
      <c r="E820" s="78"/>
      <c r="F820" s="15"/>
      <c r="G820" s="26"/>
      <c r="H820" s="12" t="b">
        <v>0</v>
      </c>
      <c r="I820" s="28"/>
      <c r="J820" s="12" t="b">
        <v>0</v>
      </c>
    </row>
    <row r="821">
      <c r="A821" s="12"/>
      <c r="B821" s="12"/>
      <c r="C821" s="12"/>
      <c r="D821" s="13"/>
      <c r="E821" s="78"/>
      <c r="F821" s="15"/>
      <c r="G821" s="26"/>
      <c r="H821" s="12" t="b">
        <v>0</v>
      </c>
      <c r="I821" s="28"/>
      <c r="J821" s="12" t="b">
        <v>0</v>
      </c>
    </row>
    <row r="822">
      <c r="A822" s="12"/>
      <c r="B822" s="12"/>
      <c r="C822" s="12"/>
      <c r="D822" s="13"/>
      <c r="E822" s="78"/>
      <c r="F822" s="15"/>
      <c r="G822" s="26"/>
      <c r="H822" s="12" t="b">
        <v>0</v>
      </c>
      <c r="I822" s="28"/>
      <c r="J822" s="12" t="b">
        <v>0</v>
      </c>
    </row>
    <row r="823">
      <c r="A823" s="12"/>
      <c r="B823" s="12"/>
      <c r="C823" s="12"/>
      <c r="D823" s="13"/>
      <c r="E823" s="78"/>
      <c r="F823" s="15"/>
      <c r="G823" s="26"/>
      <c r="H823" s="12" t="b">
        <v>0</v>
      </c>
      <c r="I823" s="28"/>
      <c r="J823" s="12" t="b">
        <v>0</v>
      </c>
    </row>
    <row r="824">
      <c r="A824" s="12"/>
      <c r="B824" s="12"/>
      <c r="C824" s="12"/>
      <c r="D824" s="13"/>
      <c r="E824" s="78"/>
      <c r="F824" s="15"/>
      <c r="G824" s="26"/>
      <c r="H824" s="12" t="b">
        <v>0</v>
      </c>
      <c r="I824" s="28"/>
      <c r="J824" s="12" t="b">
        <v>0</v>
      </c>
    </row>
    <row r="825">
      <c r="A825" s="12"/>
      <c r="B825" s="12"/>
      <c r="C825" s="12"/>
      <c r="D825" s="13"/>
      <c r="E825" s="78"/>
      <c r="F825" s="15"/>
      <c r="G825" s="26"/>
      <c r="H825" s="12" t="b">
        <v>0</v>
      </c>
      <c r="I825" s="28"/>
      <c r="J825" s="12" t="b">
        <v>0</v>
      </c>
    </row>
    <row r="826">
      <c r="A826" s="12"/>
      <c r="B826" s="12"/>
      <c r="C826" s="12"/>
      <c r="D826" s="13"/>
      <c r="E826" s="78"/>
      <c r="F826" s="15"/>
      <c r="G826" s="26"/>
      <c r="H826" s="12" t="b">
        <v>0</v>
      </c>
      <c r="I826" s="28"/>
      <c r="J826" s="12" t="b">
        <v>0</v>
      </c>
    </row>
    <row r="827">
      <c r="A827" s="12"/>
      <c r="B827" s="12"/>
      <c r="C827" s="12"/>
      <c r="D827" s="13"/>
      <c r="E827" s="78"/>
      <c r="F827" s="15"/>
      <c r="G827" s="26"/>
      <c r="H827" s="12" t="b">
        <v>0</v>
      </c>
      <c r="I827" s="28"/>
      <c r="J827" s="12" t="b">
        <v>0</v>
      </c>
    </row>
    <row r="828">
      <c r="A828" s="12"/>
      <c r="B828" s="12"/>
      <c r="C828" s="12"/>
      <c r="D828" s="13"/>
      <c r="E828" s="78"/>
      <c r="F828" s="15"/>
      <c r="G828" s="26"/>
      <c r="H828" s="12" t="b">
        <v>0</v>
      </c>
      <c r="I828" s="28"/>
      <c r="J828" s="12" t="b">
        <v>0</v>
      </c>
    </row>
    <row r="829">
      <c r="A829" s="12"/>
      <c r="B829" s="12"/>
      <c r="C829" s="12"/>
      <c r="D829" s="13"/>
      <c r="E829" s="78"/>
      <c r="F829" s="15"/>
      <c r="G829" s="26"/>
      <c r="H829" s="12" t="b">
        <v>0</v>
      </c>
      <c r="I829" s="28"/>
      <c r="J829" s="12" t="b">
        <v>0</v>
      </c>
    </row>
    <row r="830">
      <c r="A830" s="12"/>
      <c r="B830" s="12"/>
      <c r="C830" s="12"/>
      <c r="D830" s="13"/>
      <c r="E830" s="78"/>
      <c r="F830" s="15"/>
      <c r="G830" s="26"/>
      <c r="H830" s="12" t="b">
        <v>0</v>
      </c>
      <c r="I830" s="28"/>
      <c r="J830" s="12" t="b">
        <v>0</v>
      </c>
    </row>
    <row r="831">
      <c r="A831" s="12"/>
      <c r="B831" s="12"/>
      <c r="C831" s="12"/>
      <c r="D831" s="13"/>
      <c r="E831" s="78"/>
      <c r="F831" s="15"/>
      <c r="G831" s="26"/>
      <c r="H831" s="12" t="b">
        <v>0</v>
      </c>
      <c r="I831" s="28"/>
      <c r="J831" s="12" t="b">
        <v>0</v>
      </c>
    </row>
    <row r="832">
      <c r="A832" s="12"/>
      <c r="B832" s="12"/>
      <c r="C832" s="12"/>
      <c r="D832" s="13"/>
      <c r="E832" s="78"/>
      <c r="F832" s="15"/>
      <c r="G832" s="26"/>
      <c r="H832" s="12" t="b">
        <v>0</v>
      </c>
      <c r="I832" s="28"/>
      <c r="J832" s="12" t="b">
        <v>0</v>
      </c>
    </row>
    <row r="833">
      <c r="A833" s="12"/>
      <c r="B833" s="12"/>
      <c r="C833" s="12"/>
      <c r="D833" s="13"/>
      <c r="E833" s="78"/>
      <c r="F833" s="15"/>
      <c r="G833" s="26"/>
      <c r="H833" s="12" t="b">
        <v>0</v>
      </c>
      <c r="I833" s="28"/>
      <c r="J833" s="12" t="b">
        <v>0</v>
      </c>
    </row>
    <row r="834">
      <c r="A834" s="12"/>
      <c r="B834" s="12"/>
      <c r="C834" s="12"/>
      <c r="D834" s="13"/>
      <c r="E834" s="78"/>
      <c r="F834" s="15"/>
      <c r="G834" s="26"/>
      <c r="H834" s="12" t="b">
        <v>0</v>
      </c>
      <c r="I834" s="28"/>
      <c r="J834" s="12" t="b">
        <v>0</v>
      </c>
    </row>
    <row r="835">
      <c r="A835" s="12"/>
      <c r="B835" s="12"/>
      <c r="C835" s="12"/>
      <c r="D835" s="13"/>
      <c r="E835" s="78"/>
      <c r="F835" s="15"/>
      <c r="G835" s="26"/>
      <c r="H835" s="12" t="b">
        <v>0</v>
      </c>
      <c r="I835" s="28"/>
      <c r="J835" s="12" t="b">
        <v>0</v>
      </c>
    </row>
    <row r="836">
      <c r="A836" s="12"/>
      <c r="B836" s="12"/>
      <c r="C836" s="12"/>
      <c r="D836" s="13"/>
      <c r="E836" s="78"/>
      <c r="F836" s="15"/>
      <c r="G836" s="26"/>
      <c r="H836" s="12" t="b">
        <v>0</v>
      </c>
      <c r="I836" s="28"/>
      <c r="J836" s="12" t="b">
        <v>0</v>
      </c>
    </row>
    <row r="837">
      <c r="A837" s="12"/>
      <c r="B837" s="12"/>
      <c r="C837" s="12"/>
      <c r="D837" s="13"/>
      <c r="E837" s="78"/>
      <c r="F837" s="15"/>
      <c r="G837" s="26"/>
      <c r="H837" s="12" t="b">
        <v>0</v>
      </c>
      <c r="I837" s="28"/>
      <c r="J837" s="12" t="b">
        <v>0</v>
      </c>
    </row>
    <row r="838">
      <c r="A838" s="12"/>
      <c r="B838" s="12"/>
      <c r="C838" s="12"/>
      <c r="D838" s="13"/>
      <c r="E838" s="78"/>
      <c r="F838" s="15"/>
      <c r="G838" s="26"/>
      <c r="H838" s="12" t="b">
        <v>0</v>
      </c>
      <c r="I838" s="28"/>
      <c r="J838" s="12" t="b">
        <v>0</v>
      </c>
    </row>
    <row r="839">
      <c r="A839" s="12"/>
      <c r="B839" s="12"/>
      <c r="C839" s="12"/>
      <c r="D839" s="13"/>
      <c r="E839" s="78"/>
      <c r="F839" s="15"/>
      <c r="G839" s="26"/>
      <c r="H839" s="12" t="b">
        <v>0</v>
      </c>
      <c r="I839" s="28"/>
      <c r="J839" s="12" t="b">
        <v>0</v>
      </c>
    </row>
    <row r="840">
      <c r="A840" s="12"/>
      <c r="B840" s="12"/>
      <c r="C840" s="12"/>
      <c r="D840" s="13"/>
      <c r="E840" s="78"/>
      <c r="F840" s="15"/>
      <c r="G840" s="26"/>
      <c r="H840" s="12" t="b">
        <v>0</v>
      </c>
      <c r="I840" s="28"/>
      <c r="J840" s="12" t="b">
        <v>0</v>
      </c>
    </row>
    <row r="841">
      <c r="A841" s="12"/>
      <c r="B841" s="12"/>
      <c r="C841" s="12"/>
      <c r="D841" s="13"/>
      <c r="E841" s="78"/>
      <c r="F841" s="15"/>
      <c r="G841" s="26"/>
      <c r="H841" s="12" t="b">
        <v>0</v>
      </c>
      <c r="I841" s="28"/>
      <c r="J841" s="12" t="b">
        <v>0</v>
      </c>
    </row>
    <row r="842">
      <c r="A842" s="12"/>
      <c r="B842" s="12"/>
      <c r="C842" s="12"/>
      <c r="D842" s="13"/>
      <c r="E842" s="78"/>
      <c r="F842" s="15"/>
      <c r="G842" s="26"/>
      <c r="H842" s="12" t="b">
        <v>0</v>
      </c>
      <c r="I842" s="28"/>
      <c r="J842" s="12" t="b">
        <v>0</v>
      </c>
    </row>
    <row r="843">
      <c r="A843" s="12"/>
      <c r="B843" s="12"/>
      <c r="C843" s="12"/>
      <c r="D843" s="13"/>
      <c r="E843" s="78"/>
      <c r="F843" s="15"/>
      <c r="G843" s="26"/>
      <c r="H843" s="12" t="b">
        <v>0</v>
      </c>
      <c r="I843" s="28"/>
      <c r="J843" s="12" t="b">
        <v>0</v>
      </c>
    </row>
    <row r="844">
      <c r="A844" s="12"/>
      <c r="B844" s="12"/>
      <c r="C844" s="12"/>
      <c r="D844" s="13"/>
      <c r="E844" s="78"/>
      <c r="F844" s="15"/>
      <c r="G844" s="26"/>
      <c r="H844" s="12" t="b">
        <v>0</v>
      </c>
      <c r="I844" s="28"/>
      <c r="J844" s="12" t="b">
        <v>0</v>
      </c>
    </row>
    <row r="845">
      <c r="A845" s="12"/>
      <c r="B845" s="12"/>
      <c r="C845" s="12"/>
      <c r="D845" s="13"/>
      <c r="E845" s="78"/>
      <c r="F845" s="15"/>
      <c r="G845" s="26"/>
      <c r="H845" s="12" t="b">
        <v>0</v>
      </c>
      <c r="I845" s="28"/>
      <c r="J845" s="12" t="b">
        <v>0</v>
      </c>
    </row>
    <row r="846">
      <c r="A846" s="12"/>
      <c r="B846" s="12"/>
      <c r="C846" s="12"/>
      <c r="D846" s="13"/>
      <c r="E846" s="78"/>
      <c r="F846" s="15"/>
      <c r="G846" s="26"/>
      <c r="H846" s="12" t="b">
        <v>0</v>
      </c>
      <c r="I846" s="28"/>
      <c r="J846" s="12" t="b">
        <v>0</v>
      </c>
    </row>
    <row r="847">
      <c r="A847" s="12"/>
      <c r="B847" s="12"/>
      <c r="C847" s="12"/>
      <c r="D847" s="13"/>
      <c r="E847" s="78"/>
      <c r="F847" s="15"/>
      <c r="G847" s="26"/>
      <c r="H847" s="12" t="b">
        <v>0</v>
      </c>
      <c r="I847" s="28"/>
      <c r="J847" s="12" t="b">
        <v>0</v>
      </c>
    </row>
    <row r="848">
      <c r="A848" s="12"/>
      <c r="B848" s="12"/>
      <c r="C848" s="12"/>
      <c r="D848" s="13"/>
      <c r="E848" s="78"/>
      <c r="F848" s="15"/>
      <c r="G848" s="26"/>
      <c r="H848" s="12" t="b">
        <v>0</v>
      </c>
      <c r="I848" s="28"/>
      <c r="J848" s="12" t="b">
        <v>0</v>
      </c>
    </row>
    <row r="849">
      <c r="A849" s="12"/>
      <c r="B849" s="12"/>
      <c r="C849" s="12"/>
      <c r="D849" s="13"/>
      <c r="E849" s="78"/>
      <c r="F849" s="15"/>
      <c r="G849" s="26"/>
      <c r="H849" s="12" t="b">
        <v>0</v>
      </c>
      <c r="I849" s="28"/>
      <c r="J849" s="12" t="b">
        <v>0</v>
      </c>
    </row>
    <row r="850">
      <c r="A850" s="12"/>
      <c r="B850" s="12"/>
      <c r="C850" s="12"/>
      <c r="D850" s="13"/>
      <c r="E850" s="78"/>
      <c r="F850" s="15"/>
      <c r="G850" s="26"/>
      <c r="H850" s="12" t="b">
        <v>0</v>
      </c>
      <c r="I850" s="28"/>
      <c r="J850" s="12" t="b">
        <v>0</v>
      </c>
    </row>
    <row r="851">
      <c r="A851" s="12"/>
      <c r="B851" s="12"/>
      <c r="C851" s="12"/>
      <c r="D851" s="13"/>
      <c r="E851" s="78"/>
      <c r="F851" s="15"/>
      <c r="G851" s="26"/>
      <c r="H851" s="12" t="b">
        <v>0</v>
      </c>
      <c r="I851" s="28"/>
      <c r="J851" s="12" t="b">
        <v>0</v>
      </c>
    </row>
    <row r="852">
      <c r="A852" s="12"/>
      <c r="B852" s="12"/>
      <c r="C852" s="12"/>
      <c r="D852" s="13"/>
      <c r="E852" s="78"/>
      <c r="F852" s="15"/>
      <c r="G852" s="26"/>
      <c r="H852" s="12" t="b">
        <v>0</v>
      </c>
      <c r="I852" s="28"/>
      <c r="J852" s="12" t="b">
        <v>0</v>
      </c>
    </row>
    <row r="853">
      <c r="A853" s="12"/>
      <c r="B853" s="12"/>
      <c r="C853" s="12"/>
      <c r="D853" s="13"/>
      <c r="E853" s="78"/>
      <c r="F853" s="15"/>
      <c r="G853" s="26"/>
      <c r="H853" s="12" t="b">
        <v>0</v>
      </c>
      <c r="I853" s="28"/>
      <c r="J853" s="12" t="b">
        <v>0</v>
      </c>
    </row>
    <row r="854">
      <c r="A854" s="12"/>
      <c r="B854" s="12"/>
      <c r="C854" s="12"/>
      <c r="D854" s="13"/>
      <c r="E854" s="78"/>
      <c r="F854" s="15"/>
      <c r="G854" s="26"/>
      <c r="H854" s="12" t="b">
        <v>0</v>
      </c>
      <c r="I854" s="28"/>
      <c r="J854" s="12" t="b">
        <v>0</v>
      </c>
    </row>
    <row r="855">
      <c r="A855" s="12"/>
      <c r="B855" s="12"/>
      <c r="C855" s="12"/>
      <c r="D855" s="13"/>
      <c r="E855" s="78"/>
      <c r="F855" s="15"/>
      <c r="G855" s="26"/>
      <c r="H855" s="12" t="b">
        <v>0</v>
      </c>
      <c r="I855" s="28"/>
      <c r="J855" s="12" t="b">
        <v>0</v>
      </c>
    </row>
    <row r="856">
      <c r="A856" s="12"/>
      <c r="B856" s="12"/>
      <c r="C856" s="12"/>
      <c r="D856" s="13"/>
      <c r="E856" s="78"/>
      <c r="F856" s="15"/>
      <c r="G856" s="26"/>
      <c r="H856" s="12" t="b">
        <v>0</v>
      </c>
      <c r="I856" s="28"/>
      <c r="J856" s="12" t="b">
        <v>0</v>
      </c>
    </row>
    <row r="857">
      <c r="A857" s="12"/>
      <c r="B857" s="12"/>
      <c r="C857" s="12"/>
      <c r="D857" s="13"/>
      <c r="E857" s="78"/>
      <c r="F857" s="15"/>
      <c r="G857" s="26"/>
      <c r="H857" s="12" t="b">
        <v>0</v>
      </c>
      <c r="I857" s="28"/>
      <c r="J857" s="12" t="b">
        <v>0</v>
      </c>
    </row>
    <row r="858">
      <c r="A858" s="12"/>
      <c r="B858" s="12"/>
      <c r="C858" s="12"/>
      <c r="D858" s="13"/>
      <c r="E858" s="78"/>
      <c r="F858" s="15"/>
      <c r="G858" s="26"/>
      <c r="H858" s="12" t="b">
        <v>0</v>
      </c>
      <c r="I858" s="28"/>
      <c r="J858" s="12" t="b">
        <v>0</v>
      </c>
    </row>
    <row r="859">
      <c r="A859" s="12"/>
      <c r="B859" s="12"/>
      <c r="C859" s="12"/>
      <c r="D859" s="13"/>
      <c r="E859" s="78"/>
      <c r="F859" s="15"/>
      <c r="G859" s="26"/>
      <c r="H859" s="12" t="b">
        <v>0</v>
      </c>
      <c r="I859" s="28"/>
      <c r="J859" s="12" t="b">
        <v>0</v>
      </c>
    </row>
    <row r="860">
      <c r="A860" s="12"/>
      <c r="B860" s="12"/>
      <c r="C860" s="12"/>
      <c r="D860" s="13"/>
      <c r="E860" s="78"/>
      <c r="F860" s="15"/>
      <c r="G860" s="26"/>
      <c r="H860" s="12" t="b">
        <v>0</v>
      </c>
      <c r="I860" s="28"/>
      <c r="J860" s="12" t="b">
        <v>0</v>
      </c>
    </row>
    <row r="861">
      <c r="A861" s="12"/>
      <c r="B861" s="12"/>
      <c r="C861" s="12"/>
      <c r="D861" s="13"/>
      <c r="E861" s="78"/>
      <c r="F861" s="15"/>
      <c r="G861" s="26"/>
      <c r="H861" s="12" t="b">
        <v>0</v>
      </c>
      <c r="I861" s="28"/>
      <c r="J861" s="12" t="b">
        <v>0</v>
      </c>
    </row>
    <row r="862">
      <c r="A862" s="12"/>
      <c r="B862" s="12"/>
      <c r="C862" s="12"/>
      <c r="D862" s="13"/>
      <c r="E862" s="78"/>
      <c r="F862" s="15"/>
      <c r="G862" s="26"/>
      <c r="H862" s="12" t="b">
        <v>0</v>
      </c>
      <c r="I862" s="28"/>
      <c r="J862" s="12" t="b">
        <v>0</v>
      </c>
    </row>
    <row r="863">
      <c r="A863" s="12"/>
      <c r="B863" s="12"/>
      <c r="C863" s="12"/>
      <c r="D863" s="13"/>
      <c r="E863" s="78"/>
      <c r="F863" s="15"/>
      <c r="G863" s="26"/>
      <c r="H863" s="12" t="b">
        <v>0</v>
      </c>
      <c r="I863" s="28"/>
      <c r="J863" s="12" t="b">
        <v>0</v>
      </c>
    </row>
    <row r="864">
      <c r="A864" s="12"/>
      <c r="B864" s="12"/>
      <c r="C864" s="12"/>
      <c r="D864" s="13"/>
      <c r="E864" s="78"/>
      <c r="F864" s="15"/>
      <c r="G864" s="26"/>
      <c r="H864" s="12" t="b">
        <v>0</v>
      </c>
      <c r="I864" s="28"/>
      <c r="J864" s="12" t="b">
        <v>0</v>
      </c>
    </row>
    <row r="865">
      <c r="A865" s="12"/>
      <c r="B865" s="12"/>
      <c r="C865" s="12"/>
      <c r="D865" s="13"/>
      <c r="E865" s="78"/>
      <c r="F865" s="15"/>
      <c r="G865" s="26"/>
      <c r="H865" s="12" t="b">
        <v>0</v>
      </c>
      <c r="I865" s="28"/>
      <c r="J865" s="12" t="b">
        <v>0</v>
      </c>
    </row>
    <row r="866">
      <c r="A866" s="12"/>
      <c r="B866" s="12"/>
      <c r="C866" s="12"/>
      <c r="D866" s="13"/>
      <c r="E866" s="78"/>
      <c r="F866" s="15"/>
      <c r="G866" s="26"/>
      <c r="H866" s="12" t="b">
        <v>0</v>
      </c>
      <c r="I866" s="28"/>
      <c r="J866" s="12" t="b">
        <v>0</v>
      </c>
    </row>
    <row r="867">
      <c r="A867" s="12"/>
      <c r="B867" s="12"/>
      <c r="C867" s="12"/>
      <c r="D867" s="13"/>
      <c r="E867" s="78"/>
      <c r="F867" s="15"/>
      <c r="G867" s="26"/>
      <c r="H867" s="12" t="b">
        <v>0</v>
      </c>
      <c r="I867" s="28"/>
      <c r="J867" s="12" t="b">
        <v>0</v>
      </c>
    </row>
    <row r="868">
      <c r="A868" s="12"/>
      <c r="B868" s="12"/>
      <c r="C868" s="12"/>
      <c r="D868" s="13"/>
      <c r="E868" s="78"/>
      <c r="F868" s="15"/>
      <c r="G868" s="26"/>
      <c r="H868" s="12" t="b">
        <v>0</v>
      </c>
      <c r="I868" s="28"/>
      <c r="J868" s="12" t="b">
        <v>0</v>
      </c>
    </row>
    <row r="869">
      <c r="A869" s="12"/>
      <c r="B869" s="12"/>
      <c r="C869" s="12"/>
      <c r="D869" s="13"/>
      <c r="E869" s="78"/>
      <c r="F869" s="15"/>
      <c r="G869" s="26"/>
      <c r="H869" s="12" t="b">
        <v>0</v>
      </c>
      <c r="I869" s="28"/>
      <c r="J869" s="12" t="b">
        <v>0</v>
      </c>
    </row>
    <row r="870">
      <c r="A870" s="12"/>
      <c r="B870" s="12"/>
      <c r="C870" s="12"/>
      <c r="D870" s="13"/>
      <c r="E870" s="78"/>
      <c r="F870" s="15"/>
      <c r="G870" s="26"/>
      <c r="H870" s="12" t="b">
        <v>0</v>
      </c>
      <c r="I870" s="28"/>
      <c r="J870" s="12" t="b">
        <v>0</v>
      </c>
    </row>
    <row r="871">
      <c r="A871" s="12"/>
      <c r="B871" s="12"/>
      <c r="C871" s="12"/>
      <c r="D871" s="13"/>
      <c r="E871" s="78"/>
      <c r="F871" s="15"/>
      <c r="G871" s="26"/>
      <c r="H871" s="12" t="b">
        <v>0</v>
      </c>
      <c r="I871" s="28"/>
      <c r="J871" s="12" t="b">
        <v>0</v>
      </c>
    </row>
    <row r="872">
      <c r="A872" s="12"/>
      <c r="B872" s="12"/>
      <c r="C872" s="12"/>
      <c r="D872" s="13"/>
      <c r="E872" s="78"/>
      <c r="F872" s="15"/>
      <c r="G872" s="26"/>
      <c r="H872" s="12" t="b">
        <v>0</v>
      </c>
      <c r="I872" s="28"/>
      <c r="J872" s="12" t="b">
        <v>0</v>
      </c>
    </row>
    <row r="873">
      <c r="A873" s="12"/>
      <c r="B873" s="12"/>
      <c r="C873" s="12"/>
      <c r="D873" s="13"/>
      <c r="E873" s="78"/>
      <c r="F873" s="15"/>
      <c r="G873" s="26"/>
      <c r="H873" s="12" t="b">
        <v>0</v>
      </c>
      <c r="I873" s="28"/>
      <c r="J873" s="12" t="b">
        <v>0</v>
      </c>
    </row>
    <row r="874">
      <c r="A874" s="12"/>
      <c r="B874" s="12"/>
      <c r="C874" s="12"/>
      <c r="D874" s="13"/>
      <c r="E874" s="78"/>
      <c r="F874" s="15"/>
      <c r="G874" s="26"/>
      <c r="H874" s="12" t="b">
        <v>0</v>
      </c>
      <c r="I874" s="28"/>
      <c r="J874" s="12" t="b">
        <v>0</v>
      </c>
    </row>
    <row r="875">
      <c r="A875" s="12"/>
      <c r="B875" s="12"/>
      <c r="C875" s="12"/>
      <c r="D875" s="13"/>
      <c r="E875" s="78"/>
      <c r="F875" s="15"/>
      <c r="G875" s="26"/>
      <c r="H875" s="12" t="b">
        <v>0</v>
      </c>
      <c r="I875" s="28"/>
      <c r="J875" s="12" t="b">
        <v>0</v>
      </c>
    </row>
    <row r="876">
      <c r="A876" s="12"/>
      <c r="B876" s="12"/>
      <c r="C876" s="12"/>
      <c r="D876" s="13"/>
      <c r="E876" s="78"/>
      <c r="F876" s="15"/>
      <c r="G876" s="26"/>
      <c r="H876" s="12" t="b">
        <v>0</v>
      </c>
      <c r="I876" s="28"/>
      <c r="J876" s="12" t="b">
        <v>0</v>
      </c>
    </row>
    <row r="877">
      <c r="A877" s="12"/>
      <c r="B877" s="12"/>
      <c r="C877" s="12"/>
      <c r="D877" s="13"/>
      <c r="E877" s="78"/>
      <c r="F877" s="15"/>
      <c r="G877" s="26"/>
      <c r="H877" s="12" t="b">
        <v>0</v>
      </c>
      <c r="I877" s="28"/>
      <c r="J877" s="12" t="b">
        <v>0</v>
      </c>
    </row>
    <row r="878">
      <c r="A878" s="12"/>
      <c r="B878" s="12"/>
      <c r="C878" s="12"/>
      <c r="D878" s="13"/>
      <c r="E878" s="78"/>
      <c r="F878" s="15"/>
      <c r="G878" s="26"/>
      <c r="H878" s="12" t="b">
        <v>0</v>
      </c>
      <c r="I878" s="28"/>
      <c r="J878" s="12" t="b">
        <v>0</v>
      </c>
    </row>
    <row r="879">
      <c r="A879" s="12"/>
      <c r="B879" s="12"/>
      <c r="C879" s="12"/>
      <c r="D879" s="13"/>
      <c r="E879" s="78"/>
      <c r="F879" s="15"/>
      <c r="G879" s="26"/>
      <c r="H879" s="12" t="b">
        <v>0</v>
      </c>
      <c r="I879" s="28"/>
      <c r="J879" s="12" t="b">
        <v>0</v>
      </c>
    </row>
    <row r="880">
      <c r="A880" s="12"/>
      <c r="B880" s="12"/>
      <c r="C880" s="12"/>
      <c r="D880" s="13"/>
      <c r="E880" s="78"/>
      <c r="F880" s="15"/>
      <c r="G880" s="26"/>
      <c r="H880" s="12" t="b">
        <v>0</v>
      </c>
      <c r="I880" s="28"/>
      <c r="J880" s="12" t="b">
        <v>0</v>
      </c>
    </row>
    <row r="881">
      <c r="A881" s="12"/>
      <c r="B881" s="12"/>
      <c r="C881" s="12"/>
      <c r="D881" s="13"/>
      <c r="E881" s="78"/>
      <c r="F881" s="15"/>
      <c r="G881" s="26"/>
      <c r="H881" s="12" t="b">
        <v>0</v>
      </c>
      <c r="I881" s="28"/>
      <c r="J881" s="12" t="b">
        <v>0</v>
      </c>
    </row>
    <row r="882">
      <c r="A882" s="12"/>
      <c r="B882" s="12"/>
      <c r="C882" s="12"/>
      <c r="D882" s="13"/>
      <c r="E882" s="78"/>
      <c r="F882" s="15"/>
      <c r="G882" s="26"/>
      <c r="H882" s="12" t="b">
        <v>0</v>
      </c>
      <c r="I882" s="28"/>
      <c r="J882" s="12" t="b">
        <v>0</v>
      </c>
    </row>
    <row r="883">
      <c r="A883" s="12"/>
      <c r="B883" s="12"/>
      <c r="C883" s="12"/>
      <c r="D883" s="13"/>
      <c r="E883" s="78"/>
      <c r="F883" s="15"/>
      <c r="G883" s="26"/>
      <c r="H883" s="12" t="b">
        <v>0</v>
      </c>
      <c r="I883" s="28"/>
      <c r="J883" s="12" t="b">
        <v>0</v>
      </c>
    </row>
    <row r="884">
      <c r="A884" s="12"/>
      <c r="B884" s="12"/>
      <c r="C884" s="12"/>
      <c r="D884" s="13"/>
      <c r="E884" s="78"/>
      <c r="F884" s="15"/>
      <c r="G884" s="26"/>
      <c r="H884" s="12" t="b">
        <v>0</v>
      </c>
      <c r="I884" s="28"/>
      <c r="J884" s="12" t="b">
        <v>0</v>
      </c>
    </row>
    <row r="885">
      <c r="A885" s="12"/>
      <c r="B885" s="12"/>
      <c r="C885" s="12"/>
      <c r="D885" s="13"/>
      <c r="E885" s="78"/>
      <c r="F885" s="15"/>
      <c r="G885" s="26"/>
      <c r="H885" s="12" t="b">
        <v>0</v>
      </c>
      <c r="I885" s="28"/>
      <c r="J885" s="12" t="b">
        <v>0</v>
      </c>
    </row>
    <row r="886">
      <c r="A886" s="12"/>
      <c r="B886" s="12"/>
      <c r="C886" s="12"/>
      <c r="D886" s="13"/>
      <c r="E886" s="78"/>
      <c r="F886" s="15"/>
      <c r="G886" s="26"/>
      <c r="H886" s="12" t="b">
        <v>0</v>
      </c>
      <c r="I886" s="28"/>
      <c r="J886" s="12" t="b">
        <v>0</v>
      </c>
    </row>
    <row r="887">
      <c r="A887" s="12"/>
      <c r="B887" s="12"/>
      <c r="C887" s="12"/>
      <c r="D887" s="13"/>
      <c r="E887" s="78"/>
      <c r="F887" s="15"/>
      <c r="G887" s="26"/>
      <c r="H887" s="12" t="b">
        <v>0</v>
      </c>
      <c r="I887" s="28"/>
      <c r="J887" s="12" t="b">
        <v>0</v>
      </c>
    </row>
    <row r="888">
      <c r="A888" s="12"/>
      <c r="B888" s="12"/>
      <c r="C888" s="12"/>
      <c r="D888" s="13"/>
      <c r="E888" s="78"/>
      <c r="F888" s="15"/>
      <c r="G888" s="26"/>
      <c r="H888" s="12" t="b">
        <v>0</v>
      </c>
      <c r="I888" s="28"/>
      <c r="J888" s="12" t="b">
        <v>0</v>
      </c>
    </row>
    <row r="889">
      <c r="A889" s="12"/>
      <c r="B889" s="12"/>
      <c r="C889" s="12"/>
      <c r="D889" s="13"/>
      <c r="E889" s="78"/>
      <c r="F889" s="15"/>
      <c r="G889" s="26"/>
      <c r="H889" s="12" t="b">
        <v>0</v>
      </c>
      <c r="I889" s="28"/>
      <c r="J889" s="12" t="b">
        <v>0</v>
      </c>
    </row>
    <row r="890">
      <c r="A890" s="12"/>
      <c r="B890" s="12"/>
      <c r="C890" s="12"/>
      <c r="D890" s="13"/>
      <c r="E890" s="78"/>
      <c r="F890" s="15"/>
      <c r="G890" s="26"/>
      <c r="H890" s="12" t="b">
        <v>0</v>
      </c>
      <c r="I890" s="28"/>
      <c r="J890" s="12" t="b">
        <v>0</v>
      </c>
    </row>
    <row r="891">
      <c r="A891" s="12"/>
      <c r="B891" s="12"/>
      <c r="C891" s="12"/>
      <c r="D891" s="13"/>
      <c r="E891" s="78"/>
      <c r="F891" s="15"/>
      <c r="G891" s="26"/>
      <c r="H891" s="12" t="b">
        <v>0</v>
      </c>
      <c r="I891" s="28"/>
      <c r="J891" s="12" t="b">
        <v>0</v>
      </c>
    </row>
    <row r="892">
      <c r="A892" s="12"/>
      <c r="B892" s="12"/>
      <c r="C892" s="12"/>
      <c r="D892" s="13"/>
      <c r="E892" s="78"/>
      <c r="F892" s="15"/>
      <c r="G892" s="26"/>
      <c r="H892" s="12" t="b">
        <v>0</v>
      </c>
      <c r="I892" s="28"/>
      <c r="J892" s="12" t="b">
        <v>0</v>
      </c>
    </row>
    <row r="893">
      <c r="A893" s="12"/>
      <c r="B893" s="12"/>
      <c r="C893" s="12"/>
      <c r="D893" s="13"/>
      <c r="E893" s="78"/>
      <c r="F893" s="15"/>
      <c r="G893" s="26"/>
      <c r="H893" s="12" t="b">
        <v>0</v>
      </c>
      <c r="I893" s="28"/>
      <c r="J893" s="12" t="b">
        <v>0</v>
      </c>
    </row>
    <row r="894">
      <c r="A894" s="12"/>
      <c r="B894" s="12"/>
      <c r="C894" s="12"/>
      <c r="D894" s="13"/>
      <c r="E894" s="78"/>
      <c r="F894" s="15"/>
      <c r="G894" s="26"/>
      <c r="H894" s="12" t="b">
        <v>0</v>
      </c>
      <c r="I894" s="28"/>
      <c r="J894" s="12" t="b">
        <v>0</v>
      </c>
    </row>
    <row r="895">
      <c r="A895" s="12"/>
      <c r="B895" s="12"/>
      <c r="C895" s="12"/>
      <c r="D895" s="13"/>
      <c r="E895" s="78"/>
      <c r="F895" s="15"/>
      <c r="G895" s="26"/>
      <c r="H895" s="12" t="b">
        <v>0</v>
      </c>
      <c r="I895" s="28"/>
      <c r="J895" s="12" t="b">
        <v>0</v>
      </c>
    </row>
    <row r="896">
      <c r="A896" s="12"/>
      <c r="B896" s="12"/>
      <c r="C896" s="12"/>
      <c r="D896" s="13"/>
      <c r="E896" s="78"/>
      <c r="F896" s="15"/>
      <c r="G896" s="26"/>
      <c r="H896" s="12" t="b">
        <v>0</v>
      </c>
      <c r="I896" s="28"/>
      <c r="J896" s="12" t="b">
        <v>0</v>
      </c>
    </row>
    <row r="897">
      <c r="A897" s="12"/>
      <c r="B897" s="12"/>
      <c r="C897" s="12"/>
      <c r="D897" s="13"/>
      <c r="E897" s="78"/>
      <c r="F897" s="15"/>
      <c r="G897" s="26"/>
      <c r="H897" s="12" t="b">
        <v>0</v>
      </c>
      <c r="I897" s="28"/>
      <c r="J897" s="12" t="b">
        <v>0</v>
      </c>
    </row>
    <row r="898">
      <c r="A898" s="12"/>
      <c r="B898" s="12"/>
      <c r="C898" s="12"/>
      <c r="D898" s="13"/>
      <c r="E898" s="78"/>
      <c r="F898" s="15"/>
      <c r="G898" s="26"/>
      <c r="H898" s="12" t="b">
        <v>0</v>
      </c>
      <c r="I898" s="28"/>
      <c r="J898" s="12" t="b">
        <v>0</v>
      </c>
    </row>
    <row r="899">
      <c r="A899" s="12"/>
      <c r="B899" s="12"/>
      <c r="C899" s="12"/>
      <c r="D899" s="13"/>
      <c r="E899" s="78"/>
      <c r="F899" s="15"/>
      <c r="G899" s="26"/>
      <c r="H899" s="12" t="b">
        <v>0</v>
      </c>
      <c r="I899" s="28"/>
      <c r="J899" s="12" t="b">
        <v>0</v>
      </c>
    </row>
    <row r="900">
      <c r="A900" s="12"/>
      <c r="B900" s="12"/>
      <c r="C900" s="12"/>
      <c r="D900" s="13"/>
      <c r="E900" s="78"/>
      <c r="F900" s="15"/>
      <c r="G900" s="26"/>
      <c r="H900" s="12" t="b">
        <v>0</v>
      </c>
      <c r="I900" s="28"/>
      <c r="J900" s="12" t="b">
        <v>0</v>
      </c>
    </row>
    <row r="901">
      <c r="A901" s="12"/>
      <c r="B901" s="12"/>
      <c r="C901" s="12"/>
      <c r="D901" s="13"/>
      <c r="E901" s="78"/>
      <c r="F901" s="15"/>
      <c r="G901" s="26"/>
      <c r="H901" s="12" t="b">
        <v>0</v>
      </c>
      <c r="I901" s="28"/>
      <c r="J901" s="12" t="b">
        <v>0</v>
      </c>
    </row>
    <row r="902">
      <c r="A902" s="12"/>
      <c r="B902" s="12"/>
      <c r="C902" s="12"/>
      <c r="D902" s="13"/>
      <c r="E902" s="78"/>
      <c r="F902" s="15"/>
      <c r="G902" s="26"/>
      <c r="H902" s="12" t="b">
        <v>0</v>
      </c>
      <c r="I902" s="28"/>
      <c r="J902" s="12" t="b">
        <v>0</v>
      </c>
    </row>
    <row r="903">
      <c r="A903" s="12"/>
      <c r="B903" s="12"/>
      <c r="C903" s="12"/>
      <c r="D903" s="13"/>
      <c r="E903" s="78"/>
      <c r="F903" s="15"/>
      <c r="G903" s="26"/>
      <c r="H903" s="12" t="b">
        <v>0</v>
      </c>
      <c r="I903" s="28"/>
      <c r="J903" s="12" t="b">
        <v>0</v>
      </c>
    </row>
    <row r="904">
      <c r="A904" s="12"/>
      <c r="B904" s="12"/>
      <c r="C904" s="12"/>
      <c r="D904" s="13"/>
      <c r="E904" s="78"/>
      <c r="F904" s="15"/>
      <c r="G904" s="26"/>
      <c r="H904" s="12" t="b">
        <v>0</v>
      </c>
      <c r="I904" s="28"/>
      <c r="J904" s="12" t="b">
        <v>0</v>
      </c>
    </row>
    <row r="905">
      <c r="A905" s="12"/>
      <c r="B905" s="12"/>
      <c r="C905" s="12"/>
      <c r="D905" s="13"/>
      <c r="E905" s="78"/>
      <c r="F905" s="15"/>
      <c r="G905" s="26"/>
      <c r="H905" s="12" t="b">
        <v>0</v>
      </c>
      <c r="I905" s="28"/>
      <c r="J905" s="12" t="b">
        <v>0</v>
      </c>
    </row>
    <row r="906">
      <c r="A906" s="12"/>
      <c r="B906" s="12"/>
      <c r="C906" s="12"/>
      <c r="D906" s="13"/>
      <c r="E906" s="78"/>
      <c r="F906" s="15"/>
      <c r="G906" s="26"/>
      <c r="H906" s="12" t="b">
        <v>0</v>
      </c>
      <c r="I906" s="28"/>
      <c r="J906" s="12" t="b">
        <v>0</v>
      </c>
    </row>
    <row r="907">
      <c r="A907" s="12"/>
      <c r="B907" s="12"/>
      <c r="C907" s="12"/>
      <c r="D907" s="13"/>
      <c r="E907" s="78"/>
      <c r="F907" s="15"/>
      <c r="G907" s="26"/>
      <c r="H907" s="12" t="b">
        <v>0</v>
      </c>
      <c r="I907" s="28"/>
      <c r="J907" s="12" t="b">
        <v>0</v>
      </c>
    </row>
    <row r="908">
      <c r="A908" s="12"/>
      <c r="B908" s="12"/>
      <c r="C908" s="12"/>
      <c r="D908" s="13"/>
      <c r="E908" s="78"/>
      <c r="F908" s="15"/>
      <c r="G908" s="26"/>
      <c r="H908" s="12" t="b">
        <v>0</v>
      </c>
      <c r="I908" s="28"/>
      <c r="J908" s="12" t="b">
        <v>0</v>
      </c>
    </row>
    <row r="909">
      <c r="A909" s="12"/>
      <c r="B909" s="12"/>
      <c r="C909" s="12"/>
      <c r="D909" s="13"/>
      <c r="E909" s="78"/>
      <c r="F909" s="15"/>
      <c r="G909" s="26"/>
      <c r="H909" s="12" t="b">
        <v>0</v>
      </c>
      <c r="I909" s="28"/>
      <c r="J909" s="12" t="b">
        <v>0</v>
      </c>
    </row>
    <row r="910">
      <c r="A910" s="12"/>
      <c r="B910" s="12"/>
      <c r="C910" s="12"/>
      <c r="D910" s="13"/>
      <c r="E910" s="78"/>
      <c r="F910" s="15"/>
      <c r="G910" s="26"/>
      <c r="H910" s="12" t="b">
        <v>0</v>
      </c>
      <c r="I910" s="28"/>
      <c r="J910" s="12" t="b">
        <v>0</v>
      </c>
    </row>
    <row r="911">
      <c r="A911" s="12"/>
      <c r="B911" s="12"/>
      <c r="C911" s="12"/>
      <c r="D911" s="13"/>
      <c r="E911" s="78"/>
      <c r="F911" s="15"/>
      <c r="G911" s="26"/>
      <c r="H911" s="12" t="b">
        <v>0</v>
      </c>
      <c r="I911" s="28"/>
      <c r="J911" s="12" t="b">
        <v>0</v>
      </c>
    </row>
    <row r="912">
      <c r="A912" s="12"/>
      <c r="B912" s="12"/>
      <c r="C912" s="12"/>
      <c r="D912" s="13"/>
      <c r="E912" s="78"/>
      <c r="F912" s="15"/>
      <c r="G912" s="26"/>
      <c r="H912" s="12" t="b">
        <v>0</v>
      </c>
      <c r="I912" s="28"/>
      <c r="J912" s="12" t="b">
        <v>0</v>
      </c>
    </row>
    <row r="913">
      <c r="A913" s="12"/>
      <c r="B913" s="12"/>
      <c r="C913" s="12"/>
      <c r="D913" s="13"/>
      <c r="E913" s="78"/>
      <c r="F913" s="15"/>
      <c r="G913" s="26"/>
      <c r="H913" s="12" t="b">
        <v>0</v>
      </c>
      <c r="I913" s="28"/>
      <c r="J913" s="12" t="b">
        <v>0</v>
      </c>
    </row>
    <row r="914">
      <c r="A914" s="12"/>
      <c r="B914" s="12"/>
      <c r="C914" s="12"/>
      <c r="D914" s="13"/>
      <c r="E914" s="78"/>
      <c r="F914" s="15"/>
      <c r="G914" s="26"/>
      <c r="H914" s="12" t="b">
        <v>0</v>
      </c>
      <c r="I914" s="28"/>
      <c r="J914" s="12" t="b">
        <v>0</v>
      </c>
    </row>
    <row r="915">
      <c r="A915" s="12"/>
      <c r="B915" s="12"/>
      <c r="C915" s="12"/>
      <c r="D915" s="13"/>
      <c r="E915" s="78"/>
      <c r="F915" s="15"/>
      <c r="G915" s="26"/>
      <c r="H915" s="12" t="b">
        <v>0</v>
      </c>
      <c r="I915" s="28"/>
      <c r="J915" s="12" t="b">
        <v>0</v>
      </c>
    </row>
    <row r="916">
      <c r="A916" s="12"/>
      <c r="B916" s="12"/>
      <c r="C916" s="12"/>
      <c r="D916" s="13"/>
      <c r="E916" s="78"/>
      <c r="F916" s="15"/>
      <c r="G916" s="26"/>
      <c r="H916" s="12" t="b">
        <v>0</v>
      </c>
      <c r="I916" s="28"/>
      <c r="J916" s="12" t="b">
        <v>0</v>
      </c>
    </row>
    <row r="917">
      <c r="A917" s="12"/>
      <c r="B917" s="12"/>
      <c r="C917" s="12"/>
      <c r="D917" s="13"/>
      <c r="E917" s="78"/>
      <c r="F917" s="15"/>
      <c r="G917" s="26"/>
      <c r="H917" s="12" t="b">
        <v>0</v>
      </c>
      <c r="I917" s="28"/>
      <c r="J917" s="12" t="b">
        <v>0</v>
      </c>
    </row>
    <row r="918">
      <c r="A918" s="12"/>
      <c r="B918" s="12"/>
      <c r="C918" s="12"/>
      <c r="D918" s="13"/>
      <c r="E918" s="78"/>
      <c r="F918" s="15"/>
      <c r="G918" s="26"/>
      <c r="H918" s="12" t="b">
        <v>0</v>
      </c>
      <c r="I918" s="28"/>
      <c r="J918" s="12" t="b">
        <v>0</v>
      </c>
    </row>
    <row r="919">
      <c r="A919" s="12"/>
      <c r="B919" s="12"/>
      <c r="C919" s="12"/>
      <c r="D919" s="13"/>
      <c r="E919" s="78"/>
      <c r="F919" s="15"/>
      <c r="G919" s="26"/>
      <c r="H919" s="12" t="b">
        <v>0</v>
      </c>
      <c r="I919" s="28"/>
      <c r="J919" s="12" t="b">
        <v>0</v>
      </c>
    </row>
    <row r="920">
      <c r="A920" s="12"/>
      <c r="B920" s="12"/>
      <c r="C920" s="12"/>
      <c r="D920" s="13"/>
      <c r="E920" s="78"/>
      <c r="F920" s="15"/>
      <c r="G920" s="26"/>
      <c r="H920" s="12" t="b">
        <v>0</v>
      </c>
      <c r="I920" s="28"/>
      <c r="J920" s="12" t="b">
        <v>0</v>
      </c>
    </row>
    <row r="921">
      <c r="A921" s="12"/>
      <c r="B921" s="12"/>
      <c r="C921" s="12"/>
      <c r="D921" s="13"/>
      <c r="E921" s="78"/>
      <c r="F921" s="15"/>
      <c r="G921" s="26"/>
      <c r="H921" s="12" t="b">
        <v>0</v>
      </c>
      <c r="I921" s="28"/>
      <c r="J921" s="12" t="b">
        <v>0</v>
      </c>
    </row>
    <row r="922">
      <c r="A922" s="12"/>
      <c r="B922" s="12"/>
      <c r="C922" s="12"/>
      <c r="D922" s="13"/>
      <c r="E922" s="78"/>
      <c r="F922" s="15"/>
      <c r="G922" s="26"/>
      <c r="H922" s="12" t="b">
        <v>0</v>
      </c>
      <c r="I922" s="28"/>
      <c r="J922" s="12" t="b">
        <v>0</v>
      </c>
    </row>
    <row r="923">
      <c r="A923" s="12"/>
      <c r="B923" s="12"/>
      <c r="C923" s="12"/>
      <c r="D923" s="13"/>
      <c r="E923" s="78"/>
      <c r="F923" s="15"/>
      <c r="G923" s="26"/>
      <c r="H923" s="12" t="b">
        <v>0</v>
      </c>
      <c r="I923" s="28"/>
      <c r="J923" s="12" t="b">
        <v>0</v>
      </c>
    </row>
    <row r="924">
      <c r="A924" s="12"/>
      <c r="B924" s="12"/>
      <c r="C924" s="12"/>
      <c r="D924" s="13"/>
      <c r="E924" s="78"/>
      <c r="F924" s="15"/>
      <c r="G924" s="26"/>
      <c r="H924" s="12" t="b">
        <v>0</v>
      </c>
      <c r="I924" s="28"/>
      <c r="J924" s="12" t="b">
        <v>0</v>
      </c>
    </row>
    <row r="925">
      <c r="A925" s="12"/>
      <c r="B925" s="12"/>
      <c r="C925" s="12"/>
      <c r="D925" s="13"/>
      <c r="E925" s="78"/>
      <c r="F925" s="15"/>
      <c r="G925" s="26"/>
      <c r="H925" s="12" t="b">
        <v>0</v>
      </c>
      <c r="I925" s="28"/>
      <c r="J925" s="12" t="b">
        <v>0</v>
      </c>
    </row>
    <row r="926">
      <c r="A926" s="12"/>
      <c r="B926" s="12"/>
      <c r="C926" s="12"/>
      <c r="D926" s="13"/>
      <c r="E926" s="78"/>
      <c r="F926" s="15"/>
      <c r="G926" s="26"/>
      <c r="H926" s="12" t="b">
        <v>0</v>
      </c>
      <c r="I926" s="28"/>
      <c r="J926" s="12" t="b">
        <v>0</v>
      </c>
    </row>
    <row r="927">
      <c r="A927" s="12"/>
      <c r="B927" s="12"/>
      <c r="C927" s="12"/>
      <c r="D927" s="13"/>
      <c r="E927" s="78"/>
      <c r="F927" s="15"/>
      <c r="G927" s="26"/>
      <c r="H927" s="12" t="b">
        <v>0</v>
      </c>
      <c r="I927" s="28"/>
      <c r="J927" s="12" t="b">
        <v>0</v>
      </c>
    </row>
    <row r="928">
      <c r="A928" s="12"/>
      <c r="B928" s="12"/>
      <c r="C928" s="12"/>
      <c r="D928" s="13"/>
      <c r="E928" s="78"/>
      <c r="F928" s="15"/>
      <c r="G928" s="26"/>
      <c r="H928" s="12" t="b">
        <v>0</v>
      </c>
      <c r="I928" s="28"/>
      <c r="J928" s="12" t="b">
        <v>0</v>
      </c>
    </row>
    <row r="929">
      <c r="A929" s="12"/>
      <c r="B929" s="12"/>
      <c r="C929" s="12"/>
      <c r="D929" s="13"/>
      <c r="E929" s="78"/>
      <c r="F929" s="15"/>
      <c r="G929" s="26"/>
      <c r="H929" s="12" t="b">
        <v>0</v>
      </c>
      <c r="I929" s="28"/>
      <c r="J929" s="12" t="b">
        <v>0</v>
      </c>
    </row>
    <row r="930">
      <c r="A930" s="12"/>
      <c r="B930" s="12"/>
      <c r="C930" s="12"/>
      <c r="D930" s="13"/>
      <c r="E930" s="78"/>
      <c r="F930" s="15"/>
      <c r="G930" s="26"/>
      <c r="H930" s="12" t="b">
        <v>0</v>
      </c>
      <c r="I930" s="28"/>
      <c r="J930" s="12" t="b">
        <v>0</v>
      </c>
    </row>
    <row r="931">
      <c r="A931" s="12"/>
      <c r="B931" s="12"/>
      <c r="C931" s="12"/>
      <c r="D931" s="13"/>
      <c r="E931" s="78"/>
      <c r="F931" s="15"/>
      <c r="G931" s="26"/>
      <c r="H931" s="12" t="b">
        <v>0</v>
      </c>
      <c r="I931" s="28"/>
      <c r="J931" s="12" t="b">
        <v>0</v>
      </c>
    </row>
    <row r="932">
      <c r="A932" s="12"/>
      <c r="B932" s="12"/>
      <c r="C932" s="12"/>
      <c r="D932" s="13"/>
      <c r="E932" s="78"/>
      <c r="F932" s="15"/>
      <c r="G932" s="26"/>
      <c r="H932" s="12" t="b">
        <v>0</v>
      </c>
      <c r="I932" s="28"/>
      <c r="J932" s="12" t="b">
        <v>0</v>
      </c>
    </row>
    <row r="933">
      <c r="A933" s="12"/>
      <c r="B933" s="12"/>
      <c r="C933" s="12"/>
      <c r="D933" s="13"/>
      <c r="E933" s="78"/>
      <c r="F933" s="15"/>
      <c r="G933" s="26"/>
      <c r="H933" s="12" t="b">
        <v>0</v>
      </c>
      <c r="I933" s="28"/>
      <c r="J933" s="12" t="b">
        <v>0</v>
      </c>
    </row>
    <row r="934">
      <c r="A934" s="12"/>
      <c r="B934" s="12"/>
      <c r="C934" s="12"/>
      <c r="D934" s="13"/>
      <c r="E934" s="78"/>
      <c r="F934" s="15"/>
      <c r="G934" s="26"/>
      <c r="H934" s="12" t="b">
        <v>0</v>
      </c>
      <c r="I934" s="28"/>
      <c r="J934" s="12" t="b">
        <v>0</v>
      </c>
    </row>
    <row r="935">
      <c r="A935" s="12"/>
      <c r="B935" s="12"/>
      <c r="C935" s="12"/>
      <c r="D935" s="13"/>
      <c r="E935" s="78"/>
      <c r="F935" s="15"/>
      <c r="G935" s="26"/>
      <c r="H935" s="12" t="b">
        <v>0</v>
      </c>
      <c r="I935" s="28"/>
      <c r="J935" s="12" t="b">
        <v>0</v>
      </c>
    </row>
    <row r="936">
      <c r="A936" s="12"/>
      <c r="B936" s="12"/>
      <c r="C936" s="12"/>
      <c r="D936" s="13"/>
      <c r="E936" s="78"/>
      <c r="F936" s="15"/>
      <c r="G936" s="26"/>
      <c r="H936" s="12" t="b">
        <v>0</v>
      </c>
      <c r="I936" s="28"/>
      <c r="J936" s="12" t="b">
        <v>0</v>
      </c>
    </row>
    <row r="937">
      <c r="A937" s="12"/>
      <c r="B937" s="12"/>
      <c r="C937" s="12"/>
      <c r="D937" s="13"/>
      <c r="E937" s="78"/>
      <c r="F937" s="15"/>
      <c r="G937" s="26"/>
      <c r="H937" s="12" t="b">
        <v>0</v>
      </c>
      <c r="I937" s="28"/>
      <c r="J937" s="12" t="b">
        <v>0</v>
      </c>
    </row>
    <row r="938">
      <c r="A938" s="12"/>
      <c r="B938" s="12"/>
      <c r="C938" s="12"/>
      <c r="D938" s="13"/>
      <c r="E938" s="78"/>
      <c r="F938" s="15"/>
      <c r="G938" s="26"/>
      <c r="H938" s="12" t="b">
        <v>0</v>
      </c>
      <c r="I938" s="28"/>
      <c r="J938" s="12" t="b">
        <v>0</v>
      </c>
    </row>
    <row r="939">
      <c r="A939" s="12"/>
      <c r="B939" s="12"/>
      <c r="C939" s="12"/>
      <c r="D939" s="13"/>
      <c r="E939" s="78"/>
      <c r="F939" s="15"/>
      <c r="G939" s="26"/>
      <c r="H939" s="12" t="b">
        <v>0</v>
      </c>
      <c r="I939" s="28"/>
      <c r="J939" s="12" t="b">
        <v>0</v>
      </c>
    </row>
    <row r="940">
      <c r="A940" s="12"/>
      <c r="B940" s="12"/>
      <c r="C940" s="12"/>
      <c r="D940" s="13"/>
      <c r="E940" s="78"/>
      <c r="F940" s="15"/>
      <c r="G940" s="26"/>
      <c r="H940" s="12" t="b">
        <v>0</v>
      </c>
      <c r="I940" s="28"/>
      <c r="J940" s="12" t="b">
        <v>0</v>
      </c>
    </row>
    <row r="941">
      <c r="A941" s="12"/>
      <c r="B941" s="12"/>
      <c r="C941" s="12"/>
      <c r="D941" s="13"/>
      <c r="E941" s="78"/>
      <c r="F941" s="15"/>
      <c r="G941" s="26"/>
      <c r="H941" s="12" t="b">
        <v>0</v>
      </c>
      <c r="I941" s="28"/>
      <c r="J941" s="12" t="b">
        <v>0</v>
      </c>
    </row>
    <row r="942">
      <c r="A942" s="12"/>
      <c r="B942" s="12"/>
      <c r="C942" s="12"/>
      <c r="D942" s="13"/>
      <c r="E942" s="78"/>
      <c r="F942" s="15"/>
      <c r="G942" s="26"/>
      <c r="H942" s="12" t="b">
        <v>0</v>
      </c>
      <c r="I942" s="28"/>
      <c r="J942" s="12" t="b">
        <v>0</v>
      </c>
    </row>
    <row r="943">
      <c r="A943" s="12"/>
      <c r="B943" s="12"/>
      <c r="C943" s="12"/>
      <c r="D943" s="13"/>
      <c r="E943" s="78"/>
      <c r="F943" s="15"/>
      <c r="G943" s="26"/>
      <c r="H943" s="12" t="b">
        <v>0</v>
      </c>
      <c r="I943" s="28"/>
      <c r="J943" s="12" t="b">
        <v>0</v>
      </c>
    </row>
    <row r="944">
      <c r="A944" s="12"/>
      <c r="B944" s="12"/>
      <c r="C944" s="12"/>
      <c r="D944" s="13"/>
      <c r="E944" s="78"/>
      <c r="F944" s="15"/>
      <c r="G944" s="26"/>
      <c r="H944" s="12" t="b">
        <v>0</v>
      </c>
      <c r="I944" s="28"/>
      <c r="J944" s="12" t="b">
        <v>0</v>
      </c>
    </row>
    <row r="945">
      <c r="A945" s="12"/>
      <c r="B945" s="12"/>
      <c r="C945" s="12"/>
      <c r="D945" s="13"/>
      <c r="E945" s="78"/>
      <c r="F945" s="15"/>
      <c r="G945" s="26"/>
      <c r="H945" s="12" t="b">
        <v>0</v>
      </c>
      <c r="I945" s="28"/>
      <c r="J945" s="12" t="b">
        <v>0</v>
      </c>
    </row>
    <row r="946">
      <c r="A946" s="12"/>
      <c r="B946" s="12"/>
      <c r="C946" s="12"/>
      <c r="D946" s="13"/>
      <c r="E946" s="78"/>
      <c r="F946" s="15"/>
      <c r="G946" s="26"/>
      <c r="H946" s="12" t="b">
        <v>0</v>
      </c>
      <c r="I946" s="28"/>
      <c r="J946" s="12" t="b">
        <v>0</v>
      </c>
    </row>
    <row r="947">
      <c r="A947" s="12"/>
      <c r="B947" s="12"/>
      <c r="C947" s="12"/>
      <c r="D947" s="13"/>
      <c r="E947" s="78"/>
      <c r="F947" s="15"/>
      <c r="G947" s="26"/>
      <c r="H947" s="12" t="b">
        <v>0</v>
      </c>
      <c r="I947" s="28"/>
      <c r="J947" s="12" t="b">
        <v>0</v>
      </c>
    </row>
    <row r="948">
      <c r="A948" s="12"/>
      <c r="B948" s="12"/>
      <c r="C948" s="12"/>
      <c r="D948" s="13"/>
      <c r="E948" s="78"/>
      <c r="F948" s="15"/>
      <c r="G948" s="26"/>
      <c r="H948" s="12" t="b">
        <v>0</v>
      </c>
      <c r="I948" s="28"/>
      <c r="J948" s="12" t="b">
        <v>0</v>
      </c>
    </row>
    <row r="949">
      <c r="A949" s="12"/>
      <c r="B949" s="12"/>
      <c r="C949" s="12"/>
      <c r="D949" s="13"/>
      <c r="E949" s="78"/>
      <c r="F949" s="15"/>
      <c r="G949" s="26"/>
      <c r="H949" s="12" t="b">
        <v>0</v>
      </c>
      <c r="I949" s="28"/>
      <c r="J949" s="12" t="b">
        <v>0</v>
      </c>
    </row>
    <row r="950">
      <c r="A950" s="12"/>
      <c r="B950" s="12"/>
      <c r="C950" s="12"/>
      <c r="D950" s="13"/>
      <c r="E950" s="78"/>
      <c r="F950" s="15"/>
      <c r="G950" s="26"/>
      <c r="H950" s="12" t="b">
        <v>0</v>
      </c>
      <c r="I950" s="28"/>
      <c r="J950" s="12" t="b">
        <v>0</v>
      </c>
    </row>
    <row r="951">
      <c r="A951" s="12"/>
      <c r="B951" s="12"/>
      <c r="C951" s="12"/>
      <c r="D951" s="13"/>
      <c r="E951" s="78"/>
      <c r="F951" s="15"/>
      <c r="G951" s="26"/>
      <c r="H951" s="12" t="b">
        <v>0</v>
      </c>
      <c r="I951" s="28"/>
      <c r="J951" s="12" t="b">
        <v>0</v>
      </c>
    </row>
    <row r="952">
      <c r="A952" s="12"/>
      <c r="B952" s="12"/>
      <c r="C952" s="12"/>
      <c r="D952" s="13"/>
      <c r="E952" s="78"/>
      <c r="F952" s="15"/>
      <c r="G952" s="26"/>
      <c r="H952" s="12" t="b">
        <v>0</v>
      </c>
      <c r="I952" s="28"/>
      <c r="J952" s="12" t="b">
        <v>0</v>
      </c>
    </row>
    <row r="953">
      <c r="A953" s="12"/>
      <c r="B953" s="12"/>
      <c r="C953" s="12"/>
      <c r="D953" s="13"/>
      <c r="E953" s="78"/>
      <c r="F953" s="15"/>
      <c r="G953" s="26"/>
      <c r="H953" s="12" t="b">
        <v>0</v>
      </c>
      <c r="I953" s="28"/>
      <c r="J953" s="12" t="b">
        <v>0</v>
      </c>
    </row>
    <row r="954">
      <c r="A954" s="12"/>
      <c r="B954" s="12"/>
      <c r="C954" s="12"/>
      <c r="D954" s="13"/>
      <c r="E954" s="78"/>
      <c r="F954" s="15"/>
      <c r="G954" s="26"/>
      <c r="H954" s="12" t="b">
        <v>0</v>
      </c>
      <c r="I954" s="28"/>
      <c r="J954" s="12" t="b">
        <v>0</v>
      </c>
    </row>
    <row r="955">
      <c r="A955" s="12"/>
      <c r="B955" s="12"/>
      <c r="C955" s="12"/>
      <c r="D955" s="13"/>
      <c r="E955" s="78"/>
      <c r="F955" s="15"/>
      <c r="G955" s="26"/>
      <c r="H955" s="12" t="b">
        <v>0</v>
      </c>
      <c r="I955" s="28"/>
      <c r="J955" s="12" t="b">
        <v>0</v>
      </c>
    </row>
    <row r="956">
      <c r="A956" s="12"/>
      <c r="B956" s="12"/>
      <c r="C956" s="12"/>
      <c r="D956" s="13"/>
      <c r="E956" s="78"/>
      <c r="F956" s="15"/>
      <c r="G956" s="26"/>
      <c r="H956" s="12" t="b">
        <v>0</v>
      </c>
      <c r="I956" s="28"/>
      <c r="J956" s="12" t="b">
        <v>0</v>
      </c>
    </row>
    <row r="957">
      <c r="A957" s="12"/>
      <c r="B957" s="12"/>
      <c r="C957" s="12"/>
      <c r="D957" s="13"/>
      <c r="E957" s="78"/>
      <c r="F957" s="15"/>
      <c r="G957" s="26"/>
      <c r="H957" s="12" t="b">
        <v>0</v>
      </c>
      <c r="I957" s="28"/>
      <c r="J957" s="12" t="b">
        <v>0</v>
      </c>
    </row>
    <row r="958">
      <c r="A958" s="12"/>
      <c r="B958" s="12"/>
      <c r="C958" s="12"/>
      <c r="D958" s="13"/>
      <c r="E958" s="78"/>
      <c r="F958" s="15"/>
      <c r="G958" s="26"/>
      <c r="H958" s="12" t="b">
        <v>0</v>
      </c>
      <c r="I958" s="28"/>
      <c r="J958" s="12" t="b">
        <v>0</v>
      </c>
    </row>
    <row r="959">
      <c r="A959" s="12"/>
      <c r="B959" s="12"/>
      <c r="C959" s="12"/>
      <c r="D959" s="13"/>
      <c r="E959" s="78"/>
      <c r="F959" s="15"/>
      <c r="G959" s="26"/>
      <c r="H959" s="12" t="b">
        <v>0</v>
      </c>
      <c r="I959" s="28"/>
      <c r="J959" s="12" t="b">
        <v>0</v>
      </c>
    </row>
    <row r="960">
      <c r="A960" s="12"/>
      <c r="B960" s="12"/>
      <c r="C960" s="12"/>
      <c r="D960" s="13"/>
      <c r="E960" s="78"/>
      <c r="F960" s="15"/>
      <c r="G960" s="26"/>
      <c r="H960" s="12" t="b">
        <v>0</v>
      </c>
      <c r="I960" s="28"/>
      <c r="J960" s="12" t="b">
        <v>0</v>
      </c>
    </row>
    <row r="961">
      <c r="A961" s="12"/>
      <c r="B961" s="12"/>
      <c r="C961" s="12"/>
      <c r="D961" s="13"/>
      <c r="E961" s="78"/>
      <c r="F961" s="15"/>
      <c r="G961" s="26"/>
      <c r="H961" s="12" t="b">
        <v>0</v>
      </c>
      <c r="I961" s="28"/>
      <c r="J961" s="12" t="b">
        <v>0</v>
      </c>
    </row>
    <row r="962">
      <c r="A962" s="12"/>
      <c r="B962" s="12"/>
      <c r="C962" s="12"/>
      <c r="D962" s="13"/>
      <c r="E962" s="78"/>
      <c r="F962" s="15"/>
      <c r="G962" s="26"/>
      <c r="H962" s="12" t="b">
        <v>0</v>
      </c>
      <c r="I962" s="28"/>
      <c r="J962" s="12" t="b">
        <v>0</v>
      </c>
    </row>
    <row r="963">
      <c r="A963" s="12"/>
      <c r="B963" s="12"/>
      <c r="C963" s="12"/>
      <c r="D963" s="13"/>
      <c r="E963" s="78"/>
      <c r="F963" s="15"/>
      <c r="G963" s="26"/>
      <c r="H963" s="12" t="b">
        <v>0</v>
      </c>
      <c r="I963" s="28"/>
      <c r="J963" s="12" t="b">
        <v>0</v>
      </c>
    </row>
    <row r="964">
      <c r="A964" s="12"/>
      <c r="B964" s="12"/>
      <c r="C964" s="12"/>
      <c r="D964" s="13"/>
      <c r="E964" s="78"/>
      <c r="F964" s="15"/>
      <c r="G964" s="26"/>
      <c r="H964" s="12" t="b">
        <v>0</v>
      </c>
      <c r="I964" s="28"/>
      <c r="J964" s="12" t="b">
        <v>0</v>
      </c>
    </row>
    <row r="965">
      <c r="A965" s="12"/>
      <c r="B965" s="12"/>
      <c r="C965" s="12"/>
      <c r="D965" s="13"/>
      <c r="E965" s="78"/>
      <c r="F965" s="15"/>
      <c r="G965" s="26"/>
      <c r="H965" s="12" t="b">
        <v>0</v>
      </c>
      <c r="I965" s="28"/>
      <c r="J965" s="12" t="b">
        <v>0</v>
      </c>
    </row>
    <row r="966">
      <c r="A966" s="12"/>
      <c r="B966" s="12"/>
      <c r="C966" s="12"/>
      <c r="D966" s="13"/>
      <c r="E966" s="78"/>
      <c r="F966" s="15"/>
      <c r="G966" s="26"/>
      <c r="H966" s="12" t="b">
        <v>0</v>
      </c>
      <c r="I966" s="28"/>
      <c r="J966" s="12" t="b">
        <v>0</v>
      </c>
    </row>
    <row r="967">
      <c r="A967" s="12"/>
      <c r="B967" s="12"/>
      <c r="C967" s="12"/>
      <c r="D967" s="13"/>
      <c r="E967" s="78"/>
      <c r="F967" s="15"/>
      <c r="G967" s="26"/>
      <c r="H967" s="12" t="b">
        <v>0</v>
      </c>
      <c r="I967" s="28"/>
      <c r="J967" s="12" t="b">
        <v>0</v>
      </c>
    </row>
    <row r="968">
      <c r="A968" s="12"/>
      <c r="B968" s="12"/>
      <c r="C968" s="12"/>
      <c r="D968" s="13"/>
      <c r="E968" s="78"/>
      <c r="F968" s="15"/>
      <c r="G968" s="26"/>
      <c r="H968" s="12" t="b">
        <v>0</v>
      </c>
      <c r="I968" s="28"/>
      <c r="J968" s="12" t="b">
        <v>0</v>
      </c>
    </row>
    <row r="969">
      <c r="A969" s="12"/>
      <c r="B969" s="12"/>
      <c r="C969" s="12"/>
      <c r="D969" s="13"/>
      <c r="E969" s="78"/>
      <c r="F969" s="15"/>
      <c r="G969" s="26"/>
      <c r="H969" s="12" t="b">
        <v>0</v>
      </c>
      <c r="I969" s="28"/>
      <c r="J969" s="12" t="b">
        <v>0</v>
      </c>
    </row>
    <row r="970">
      <c r="A970" s="12"/>
      <c r="B970" s="12"/>
      <c r="C970" s="12"/>
      <c r="D970" s="13"/>
      <c r="E970" s="78"/>
      <c r="F970" s="15"/>
      <c r="G970" s="26"/>
      <c r="H970" s="12" t="b">
        <v>0</v>
      </c>
      <c r="I970" s="28"/>
      <c r="J970" s="12" t="b">
        <v>0</v>
      </c>
    </row>
    <row r="971">
      <c r="A971" s="12"/>
      <c r="B971" s="12"/>
      <c r="C971" s="12"/>
      <c r="D971" s="13"/>
      <c r="E971" s="78"/>
      <c r="F971" s="15"/>
      <c r="G971" s="26"/>
      <c r="H971" s="12" t="b">
        <v>0</v>
      </c>
      <c r="I971" s="28"/>
      <c r="J971" s="12" t="b">
        <v>0</v>
      </c>
    </row>
    <row r="972">
      <c r="A972" s="12"/>
      <c r="B972" s="12"/>
      <c r="C972" s="12"/>
      <c r="D972" s="13"/>
      <c r="E972" s="78"/>
      <c r="F972" s="15"/>
      <c r="G972" s="26"/>
      <c r="H972" s="12" t="b">
        <v>0</v>
      </c>
      <c r="I972" s="28"/>
      <c r="J972" s="12" t="b">
        <v>0</v>
      </c>
    </row>
    <row r="973">
      <c r="A973" s="12"/>
      <c r="B973" s="12"/>
      <c r="C973" s="12"/>
      <c r="D973" s="13"/>
      <c r="E973" s="78"/>
      <c r="F973" s="15"/>
      <c r="G973" s="26"/>
      <c r="H973" s="12" t="b">
        <v>0</v>
      </c>
      <c r="I973" s="28"/>
      <c r="J973" s="12" t="b">
        <v>0</v>
      </c>
    </row>
    <row r="974">
      <c r="A974" s="12"/>
      <c r="B974" s="12"/>
      <c r="C974" s="12"/>
      <c r="D974" s="13"/>
      <c r="E974" s="78"/>
      <c r="F974" s="15"/>
      <c r="G974" s="26"/>
      <c r="H974" s="12" t="b">
        <v>0</v>
      </c>
      <c r="I974" s="28"/>
      <c r="J974" s="12" t="b">
        <v>0</v>
      </c>
    </row>
    <row r="975">
      <c r="A975" s="12"/>
      <c r="B975" s="12"/>
      <c r="C975" s="12"/>
      <c r="D975" s="13"/>
      <c r="E975" s="78"/>
      <c r="F975" s="15"/>
      <c r="G975" s="26"/>
      <c r="H975" s="12" t="b">
        <v>0</v>
      </c>
      <c r="I975" s="28"/>
      <c r="J975" s="12" t="b">
        <v>0</v>
      </c>
    </row>
    <row r="976">
      <c r="A976" s="12"/>
      <c r="B976" s="12"/>
      <c r="C976" s="12"/>
      <c r="D976" s="13"/>
      <c r="E976" s="78"/>
      <c r="F976" s="15"/>
      <c r="G976" s="26"/>
      <c r="H976" s="12" t="b">
        <v>0</v>
      </c>
      <c r="I976" s="28"/>
      <c r="J976" s="12" t="b">
        <v>0</v>
      </c>
    </row>
    <row r="977">
      <c r="A977" s="12"/>
      <c r="B977" s="12"/>
      <c r="C977" s="12"/>
      <c r="D977" s="13"/>
      <c r="E977" s="78"/>
      <c r="F977" s="15"/>
      <c r="G977" s="26"/>
      <c r="H977" s="12" t="b">
        <v>0</v>
      </c>
      <c r="I977" s="28"/>
      <c r="J977" s="12" t="b">
        <v>0</v>
      </c>
    </row>
    <row r="978">
      <c r="A978" s="12"/>
      <c r="B978" s="12"/>
      <c r="C978" s="12"/>
      <c r="D978" s="13"/>
      <c r="E978" s="78"/>
      <c r="F978" s="15"/>
      <c r="G978" s="26"/>
      <c r="H978" s="12" t="b">
        <v>0</v>
      </c>
      <c r="I978" s="28"/>
      <c r="J978" s="12" t="b">
        <v>0</v>
      </c>
    </row>
    <row r="979">
      <c r="A979" s="12"/>
      <c r="B979" s="12"/>
      <c r="C979" s="12"/>
      <c r="D979" s="13"/>
      <c r="E979" s="78"/>
      <c r="F979" s="15"/>
      <c r="G979" s="26"/>
      <c r="H979" s="12" t="b">
        <v>0</v>
      </c>
      <c r="I979" s="28"/>
      <c r="J979" s="12" t="b">
        <v>0</v>
      </c>
    </row>
    <row r="980">
      <c r="A980" s="12"/>
      <c r="B980" s="12"/>
      <c r="C980" s="12"/>
      <c r="D980" s="13"/>
      <c r="E980" s="78"/>
      <c r="F980" s="15"/>
      <c r="G980" s="26"/>
      <c r="H980" s="12" t="b">
        <v>0</v>
      </c>
      <c r="I980" s="28"/>
      <c r="J980" s="12" t="b">
        <v>0</v>
      </c>
    </row>
    <row r="981">
      <c r="A981" s="12"/>
      <c r="B981" s="12"/>
      <c r="C981" s="12"/>
      <c r="D981" s="13"/>
      <c r="E981" s="78"/>
      <c r="F981" s="15"/>
      <c r="G981" s="26"/>
      <c r="H981" s="12" t="b">
        <v>0</v>
      </c>
      <c r="I981" s="28"/>
      <c r="J981" s="12" t="b">
        <v>0</v>
      </c>
    </row>
    <row r="982">
      <c r="A982" s="12"/>
      <c r="B982" s="12"/>
      <c r="C982" s="12"/>
      <c r="D982" s="13"/>
      <c r="E982" s="78"/>
      <c r="F982" s="15"/>
      <c r="G982" s="26"/>
      <c r="H982" s="12" t="b">
        <v>0</v>
      </c>
      <c r="I982" s="28"/>
      <c r="J982" s="12" t="b">
        <v>0</v>
      </c>
    </row>
    <row r="983">
      <c r="A983" s="12"/>
      <c r="B983" s="12"/>
      <c r="C983" s="12"/>
      <c r="D983" s="13"/>
      <c r="E983" s="78"/>
      <c r="F983" s="15"/>
      <c r="G983" s="26"/>
      <c r="H983" s="12" t="b">
        <v>0</v>
      </c>
      <c r="I983" s="28"/>
      <c r="J983" s="12" t="b">
        <v>0</v>
      </c>
    </row>
    <row r="984">
      <c r="A984" s="12"/>
      <c r="B984" s="12"/>
      <c r="C984" s="12"/>
      <c r="D984" s="13"/>
      <c r="E984" s="78"/>
      <c r="F984" s="15"/>
      <c r="G984" s="26"/>
      <c r="H984" s="12" t="b">
        <v>0</v>
      </c>
      <c r="I984" s="28"/>
      <c r="J984" s="12" t="b">
        <v>0</v>
      </c>
    </row>
    <row r="985">
      <c r="A985" s="12"/>
      <c r="B985" s="12"/>
      <c r="C985" s="12"/>
      <c r="D985" s="13"/>
      <c r="E985" s="78"/>
      <c r="F985" s="15"/>
      <c r="G985" s="26"/>
      <c r="H985" s="12" t="b">
        <v>0</v>
      </c>
      <c r="I985" s="28"/>
      <c r="J985" s="12" t="b">
        <v>0</v>
      </c>
    </row>
    <row r="986">
      <c r="A986" s="12"/>
      <c r="B986" s="12"/>
      <c r="C986" s="12"/>
      <c r="D986" s="13"/>
      <c r="E986" s="78"/>
      <c r="F986" s="15"/>
      <c r="G986" s="26"/>
      <c r="H986" s="12" t="b">
        <v>0</v>
      </c>
      <c r="I986" s="28"/>
      <c r="J986" s="12" t="b">
        <v>0</v>
      </c>
    </row>
    <row r="987">
      <c r="A987" s="12"/>
      <c r="B987" s="12"/>
      <c r="C987" s="12"/>
      <c r="D987" s="13"/>
      <c r="E987" s="78"/>
      <c r="F987" s="15"/>
      <c r="G987" s="26"/>
      <c r="H987" s="12" t="b">
        <v>0</v>
      </c>
      <c r="I987" s="28"/>
      <c r="J987" s="12" t="b">
        <v>0</v>
      </c>
    </row>
    <row r="988">
      <c r="A988" s="12"/>
      <c r="B988" s="12"/>
      <c r="C988" s="12"/>
      <c r="D988" s="13"/>
      <c r="E988" s="78"/>
      <c r="F988" s="15"/>
      <c r="G988" s="26"/>
      <c r="H988" s="12" t="b">
        <v>0</v>
      </c>
      <c r="I988" s="28"/>
      <c r="J988" s="12" t="b">
        <v>0</v>
      </c>
    </row>
    <row r="989">
      <c r="A989" s="12"/>
      <c r="B989" s="12"/>
      <c r="C989" s="12"/>
      <c r="D989" s="13"/>
      <c r="E989" s="78"/>
      <c r="F989" s="15"/>
      <c r="G989" s="26"/>
      <c r="H989" s="12" t="b">
        <v>0</v>
      </c>
      <c r="I989" s="28"/>
      <c r="J989" s="12" t="b">
        <v>0</v>
      </c>
    </row>
    <row r="990">
      <c r="A990" s="12"/>
      <c r="B990" s="12"/>
      <c r="C990" s="12"/>
      <c r="D990" s="13"/>
      <c r="E990" s="78"/>
      <c r="F990" s="15"/>
      <c r="G990" s="26"/>
      <c r="H990" s="12" t="b">
        <v>0</v>
      </c>
      <c r="I990" s="28"/>
      <c r="J990" s="12" t="b">
        <v>0</v>
      </c>
    </row>
    <row r="991">
      <c r="A991" s="12"/>
      <c r="B991" s="12"/>
      <c r="C991" s="12"/>
      <c r="D991" s="13"/>
      <c r="E991" s="78"/>
      <c r="F991" s="15"/>
      <c r="G991" s="26"/>
      <c r="H991" s="12" t="b">
        <v>0</v>
      </c>
      <c r="I991" s="28"/>
      <c r="J991" s="12" t="b">
        <v>0</v>
      </c>
    </row>
    <row r="992">
      <c r="A992" s="12"/>
      <c r="B992" s="12"/>
      <c r="C992" s="12"/>
      <c r="D992" s="13"/>
      <c r="E992" s="78"/>
      <c r="F992" s="15"/>
      <c r="G992" s="26"/>
      <c r="H992" s="12" t="b">
        <v>0</v>
      </c>
      <c r="I992" s="28"/>
      <c r="J992" s="12" t="b">
        <v>0</v>
      </c>
    </row>
    <row r="993">
      <c r="A993" s="12"/>
      <c r="B993" s="12"/>
      <c r="C993" s="12"/>
      <c r="D993" s="13"/>
      <c r="E993" s="78"/>
      <c r="F993" s="15"/>
      <c r="G993" s="26"/>
      <c r="H993" s="12" t="b">
        <v>0</v>
      </c>
      <c r="I993" s="28"/>
      <c r="J993" s="12" t="b">
        <v>0</v>
      </c>
    </row>
    <row r="994">
      <c r="A994" s="12"/>
      <c r="B994" s="12"/>
      <c r="C994" s="12"/>
      <c r="D994" s="13"/>
      <c r="E994" s="78"/>
      <c r="F994" s="15"/>
      <c r="G994" s="26"/>
      <c r="H994" s="12" t="b">
        <v>0</v>
      </c>
      <c r="I994" s="28"/>
      <c r="J994" s="12" t="b">
        <v>0</v>
      </c>
    </row>
    <row r="995">
      <c r="A995" s="12"/>
      <c r="B995" s="12"/>
      <c r="C995" s="12"/>
      <c r="D995" s="13"/>
      <c r="E995" s="78"/>
      <c r="F995" s="15"/>
      <c r="G995" s="26"/>
      <c r="H995" s="12" t="b">
        <v>0</v>
      </c>
      <c r="I995" s="28"/>
      <c r="J995" s="12" t="b">
        <v>0</v>
      </c>
    </row>
    <row r="996">
      <c r="A996" s="12"/>
      <c r="B996" s="12"/>
      <c r="C996" s="12"/>
      <c r="D996" s="13"/>
      <c r="E996" s="78"/>
      <c r="F996" s="15"/>
      <c r="G996" s="26"/>
      <c r="H996" s="12" t="b">
        <v>0</v>
      </c>
      <c r="I996" s="28"/>
      <c r="J996" s="12" t="b">
        <v>0</v>
      </c>
    </row>
    <row r="997">
      <c r="A997" s="12"/>
      <c r="B997" s="12"/>
      <c r="C997" s="12"/>
      <c r="D997" s="13"/>
      <c r="E997" s="78"/>
      <c r="F997" s="15"/>
      <c r="G997" s="26"/>
      <c r="H997" s="12" t="b">
        <v>0</v>
      </c>
      <c r="I997" s="28"/>
      <c r="J997" s="12" t="b">
        <v>0</v>
      </c>
    </row>
    <row r="998">
      <c r="A998" s="12"/>
      <c r="B998" s="12"/>
      <c r="C998" s="12"/>
      <c r="D998" s="13"/>
      <c r="E998" s="78"/>
      <c r="F998" s="15"/>
      <c r="G998" s="26"/>
      <c r="H998" s="12" t="b">
        <v>0</v>
      </c>
      <c r="I998" s="28"/>
      <c r="J998" s="12" t="b">
        <v>0</v>
      </c>
    </row>
    <row r="999">
      <c r="A999" s="12"/>
      <c r="B999" s="12"/>
      <c r="C999" s="12"/>
      <c r="D999" s="13"/>
      <c r="E999" s="78"/>
      <c r="F999" s="15"/>
      <c r="G999" s="26"/>
      <c r="H999" s="12" t="b">
        <v>0</v>
      </c>
      <c r="I999" s="28"/>
      <c r="J999" s="12" t="b">
        <v>0</v>
      </c>
    </row>
    <row r="1000">
      <c r="A1000" s="12"/>
      <c r="B1000" s="12"/>
      <c r="C1000" s="12"/>
      <c r="D1000" s="13"/>
      <c r="E1000" s="78"/>
      <c r="F1000" s="15"/>
      <c r="G1000" s="26"/>
      <c r="H1000" s="12" t="b">
        <v>0</v>
      </c>
      <c r="I1000" s="28"/>
      <c r="J1000" s="12" t="b">
        <v>0</v>
      </c>
    </row>
    <row r="1001">
      <c r="A1001" s="12"/>
      <c r="B1001" s="12"/>
      <c r="C1001" s="12"/>
      <c r="D1001" s="13"/>
      <c r="E1001" s="78"/>
      <c r="F1001" s="15"/>
      <c r="G1001" s="26"/>
      <c r="H1001" s="12" t="b">
        <v>0</v>
      </c>
      <c r="I1001" s="28"/>
      <c r="J1001" s="12" t="b">
        <v>0</v>
      </c>
    </row>
    <row r="1002">
      <c r="A1002" s="12"/>
      <c r="B1002" s="12"/>
      <c r="C1002" s="12"/>
      <c r="D1002" s="13"/>
      <c r="E1002" s="78"/>
      <c r="F1002" s="15"/>
      <c r="G1002" s="26"/>
      <c r="H1002" s="12" t="b">
        <v>0</v>
      </c>
      <c r="I1002" s="28"/>
      <c r="J1002" s="12" t="b">
        <v>0</v>
      </c>
    </row>
    <row r="1003">
      <c r="A1003" s="12"/>
      <c r="B1003" s="12"/>
      <c r="C1003" s="12"/>
      <c r="D1003" s="13"/>
      <c r="E1003" s="78"/>
      <c r="F1003" s="15"/>
      <c r="G1003" s="26"/>
      <c r="H1003" s="12" t="b">
        <v>0</v>
      </c>
      <c r="I1003" s="28"/>
      <c r="J1003" s="12" t="b">
        <v>0</v>
      </c>
    </row>
    <row r="1004">
      <c r="A1004" s="12"/>
      <c r="B1004" s="12"/>
      <c r="C1004" s="12"/>
      <c r="D1004" s="13"/>
      <c r="E1004" s="78"/>
      <c r="F1004" s="15"/>
      <c r="G1004" s="26"/>
      <c r="H1004" s="12" t="b">
        <v>0</v>
      </c>
      <c r="I1004" s="28"/>
      <c r="J1004" s="12" t="b">
        <v>0</v>
      </c>
    </row>
    <row r="1005">
      <c r="A1005" s="12"/>
      <c r="B1005" s="12"/>
      <c r="C1005" s="12"/>
      <c r="D1005" s="13"/>
      <c r="E1005" s="78"/>
      <c r="F1005" s="15"/>
      <c r="G1005" s="26"/>
      <c r="H1005" s="12" t="b">
        <v>0</v>
      </c>
      <c r="I1005" s="28"/>
      <c r="J1005" s="12" t="b">
        <v>0</v>
      </c>
    </row>
    <row r="1006">
      <c r="A1006" s="12"/>
      <c r="B1006" s="12"/>
      <c r="C1006" s="12"/>
      <c r="D1006" s="13"/>
      <c r="E1006" s="78"/>
      <c r="F1006" s="15"/>
      <c r="G1006" s="26"/>
      <c r="H1006" s="12" t="b">
        <v>0</v>
      </c>
      <c r="I1006" s="28"/>
      <c r="J1006" s="12" t="b">
        <v>0</v>
      </c>
    </row>
    <row r="1007">
      <c r="A1007" s="12"/>
      <c r="B1007" s="12"/>
      <c r="C1007" s="12"/>
      <c r="D1007" s="13"/>
      <c r="E1007" s="78"/>
      <c r="F1007" s="15"/>
      <c r="G1007" s="26"/>
      <c r="H1007" s="12" t="b">
        <v>0</v>
      </c>
      <c r="I1007" s="28"/>
      <c r="J1007" s="12" t="b">
        <v>0</v>
      </c>
    </row>
    <row r="1008">
      <c r="A1008" s="12"/>
      <c r="B1008" s="12"/>
      <c r="C1008" s="12"/>
      <c r="D1008" s="13"/>
      <c r="E1008" s="78"/>
      <c r="F1008" s="15"/>
      <c r="G1008" s="26"/>
      <c r="H1008" s="12" t="b">
        <v>0</v>
      </c>
      <c r="I1008" s="28"/>
      <c r="J1008" s="12" t="b">
        <v>0</v>
      </c>
    </row>
    <row r="1009">
      <c r="A1009" s="12"/>
      <c r="B1009" s="12"/>
      <c r="C1009" s="12"/>
      <c r="D1009" s="13"/>
      <c r="E1009" s="78"/>
      <c r="F1009" s="15"/>
      <c r="G1009" s="26"/>
      <c r="H1009" s="12" t="b">
        <v>0</v>
      </c>
      <c r="I1009" s="28"/>
      <c r="J1009" s="12" t="b">
        <v>0</v>
      </c>
    </row>
    <row r="1010">
      <c r="A1010" s="12"/>
      <c r="B1010" s="12"/>
      <c r="C1010" s="12"/>
      <c r="D1010" s="13"/>
      <c r="E1010" s="78"/>
      <c r="F1010" s="15"/>
      <c r="G1010" s="26"/>
      <c r="H1010" s="12" t="b">
        <v>0</v>
      </c>
      <c r="I1010" s="28"/>
      <c r="J1010" s="12" t="b">
        <v>0</v>
      </c>
    </row>
    <row r="1011">
      <c r="A1011" s="12"/>
      <c r="B1011" s="12"/>
      <c r="C1011" s="12"/>
      <c r="D1011" s="13"/>
      <c r="E1011" s="78"/>
      <c r="F1011" s="15"/>
      <c r="G1011" s="26"/>
      <c r="H1011" s="12" t="b">
        <v>0</v>
      </c>
      <c r="I1011" s="28"/>
      <c r="J1011" s="12" t="b">
        <v>0</v>
      </c>
    </row>
    <row r="1012">
      <c r="A1012" s="12"/>
      <c r="B1012" s="12"/>
      <c r="C1012" s="12"/>
      <c r="D1012" s="13"/>
      <c r="E1012" s="78"/>
      <c r="F1012" s="15"/>
      <c r="G1012" s="26"/>
      <c r="H1012" s="12" t="b">
        <v>0</v>
      </c>
      <c r="I1012" s="28"/>
      <c r="J1012" s="12" t="b">
        <v>0</v>
      </c>
    </row>
    <row r="1013">
      <c r="A1013" s="12"/>
      <c r="B1013" s="12"/>
      <c r="C1013" s="12"/>
      <c r="D1013" s="13"/>
      <c r="E1013" s="78"/>
      <c r="F1013" s="15"/>
      <c r="G1013" s="26"/>
      <c r="H1013" s="12" t="b">
        <v>0</v>
      </c>
      <c r="I1013" s="28"/>
      <c r="J1013" s="12" t="b">
        <v>0</v>
      </c>
    </row>
    <row r="1014">
      <c r="A1014" s="12"/>
      <c r="B1014" s="12"/>
      <c r="C1014" s="12"/>
      <c r="D1014" s="13"/>
      <c r="E1014" s="78"/>
      <c r="F1014" s="15"/>
      <c r="G1014" s="26"/>
      <c r="H1014" s="12" t="b">
        <v>0</v>
      </c>
      <c r="I1014" s="28"/>
      <c r="J1014" s="12" t="b">
        <v>0</v>
      </c>
    </row>
    <row r="1015">
      <c r="A1015" s="12"/>
      <c r="B1015" s="12"/>
      <c r="C1015" s="12"/>
      <c r="D1015" s="13"/>
      <c r="E1015" s="78"/>
      <c r="F1015" s="15"/>
      <c r="G1015" s="26"/>
      <c r="H1015" s="12" t="b">
        <v>0</v>
      </c>
      <c r="I1015" s="28"/>
      <c r="J1015" s="12" t="b">
        <v>0</v>
      </c>
    </row>
    <row r="1016">
      <c r="A1016" s="12"/>
      <c r="B1016" s="12"/>
      <c r="C1016" s="12"/>
      <c r="D1016" s="13"/>
      <c r="E1016" s="78"/>
      <c r="F1016" s="15"/>
      <c r="G1016" s="26"/>
      <c r="H1016" s="12" t="b">
        <v>0</v>
      </c>
      <c r="I1016" s="28"/>
      <c r="J1016" s="12" t="b">
        <v>0</v>
      </c>
    </row>
    <row r="1017">
      <c r="A1017" s="12"/>
      <c r="B1017" s="12"/>
      <c r="C1017" s="12"/>
      <c r="D1017" s="13"/>
      <c r="E1017" s="78"/>
      <c r="F1017" s="15"/>
      <c r="G1017" s="26"/>
      <c r="H1017" s="12" t="b">
        <v>0</v>
      </c>
      <c r="I1017" s="28"/>
      <c r="J1017" s="12" t="b">
        <v>0</v>
      </c>
    </row>
    <row r="1018">
      <c r="A1018" s="12"/>
      <c r="B1018" s="12"/>
      <c r="C1018" s="12"/>
      <c r="D1018" s="13"/>
      <c r="E1018" s="78"/>
      <c r="F1018" s="15"/>
      <c r="G1018" s="26"/>
      <c r="H1018" s="12" t="b">
        <v>0</v>
      </c>
      <c r="I1018" s="28"/>
      <c r="J1018" s="12" t="b">
        <v>0</v>
      </c>
    </row>
    <row r="1019">
      <c r="A1019" s="12"/>
      <c r="B1019" s="12"/>
      <c r="C1019" s="12"/>
      <c r="D1019" s="13"/>
      <c r="E1019" s="78"/>
      <c r="F1019" s="15"/>
      <c r="G1019" s="26"/>
      <c r="H1019" s="12" t="b">
        <v>0</v>
      </c>
      <c r="I1019" s="28"/>
      <c r="J1019" s="12" t="b">
        <v>0</v>
      </c>
    </row>
    <row r="1020">
      <c r="A1020" s="12"/>
      <c r="B1020" s="12"/>
      <c r="C1020" s="12"/>
      <c r="D1020" s="13"/>
      <c r="E1020" s="78"/>
      <c r="F1020" s="15"/>
      <c r="G1020" s="26"/>
      <c r="H1020" s="12" t="b">
        <v>0</v>
      </c>
      <c r="I1020" s="28"/>
      <c r="J1020" s="12" t="b">
        <v>0</v>
      </c>
    </row>
    <row r="1021">
      <c r="A1021" s="12"/>
      <c r="B1021" s="12"/>
      <c r="C1021" s="12"/>
      <c r="D1021" s="13"/>
      <c r="E1021" s="78"/>
      <c r="F1021" s="15"/>
      <c r="G1021" s="26"/>
      <c r="H1021" s="12" t="b">
        <v>0</v>
      </c>
      <c r="I1021" s="28"/>
      <c r="J1021" s="12" t="b">
        <v>0</v>
      </c>
    </row>
    <row r="1022">
      <c r="A1022" s="12"/>
      <c r="B1022" s="12"/>
      <c r="C1022" s="12"/>
      <c r="D1022" s="13"/>
      <c r="E1022" s="78"/>
      <c r="F1022" s="15"/>
      <c r="G1022" s="26"/>
      <c r="H1022" s="12" t="b">
        <v>0</v>
      </c>
      <c r="I1022" s="28"/>
      <c r="J1022" s="12" t="b">
        <v>0</v>
      </c>
    </row>
    <row r="1023">
      <c r="A1023" s="12"/>
      <c r="B1023" s="12"/>
      <c r="C1023" s="12"/>
      <c r="D1023" s="13"/>
      <c r="E1023" s="78"/>
      <c r="F1023" s="15"/>
      <c r="G1023" s="26"/>
      <c r="H1023" s="12" t="b">
        <v>0</v>
      </c>
      <c r="I1023" s="28"/>
      <c r="J1023" s="12" t="b">
        <v>0</v>
      </c>
    </row>
    <row r="1024">
      <c r="A1024" s="12"/>
      <c r="B1024" s="12"/>
      <c r="C1024" s="12"/>
      <c r="D1024" s="13"/>
      <c r="E1024" s="78"/>
      <c r="F1024" s="15"/>
      <c r="G1024" s="26"/>
      <c r="H1024" s="12" t="b">
        <v>0</v>
      </c>
      <c r="I1024" s="28"/>
      <c r="J1024" s="12" t="b">
        <v>0</v>
      </c>
    </row>
    <row r="1025">
      <c r="A1025" s="12"/>
      <c r="B1025" s="12"/>
      <c r="C1025" s="12"/>
      <c r="D1025" s="13"/>
      <c r="E1025" s="78"/>
      <c r="F1025" s="15"/>
      <c r="G1025" s="26"/>
      <c r="H1025" s="12" t="b">
        <v>0</v>
      </c>
      <c r="I1025" s="28"/>
      <c r="J1025" s="12" t="b">
        <v>0</v>
      </c>
    </row>
    <row r="1026">
      <c r="A1026" s="12"/>
      <c r="B1026" s="12"/>
      <c r="C1026" s="12"/>
      <c r="D1026" s="13"/>
      <c r="E1026" s="78"/>
      <c r="F1026" s="15"/>
      <c r="G1026" s="26"/>
      <c r="H1026" s="12" t="b">
        <v>0</v>
      </c>
      <c r="I1026" s="28"/>
      <c r="J1026" s="12" t="b">
        <v>0</v>
      </c>
    </row>
    <row r="1027">
      <c r="A1027" s="12"/>
      <c r="B1027" s="12"/>
      <c r="C1027" s="12"/>
      <c r="D1027" s="13"/>
      <c r="E1027" s="78"/>
      <c r="F1027" s="15"/>
      <c r="G1027" s="26"/>
      <c r="H1027" s="12" t="b">
        <v>0</v>
      </c>
      <c r="I1027" s="28"/>
      <c r="J1027" s="12" t="b">
        <v>0</v>
      </c>
    </row>
    <row r="1028">
      <c r="A1028" s="12"/>
      <c r="B1028" s="12"/>
      <c r="C1028" s="12"/>
      <c r="D1028" s="13"/>
      <c r="E1028" s="78"/>
      <c r="F1028" s="15"/>
      <c r="G1028" s="26"/>
      <c r="H1028" s="12" t="b">
        <v>0</v>
      </c>
      <c r="I1028" s="28"/>
      <c r="J1028" s="12" t="b">
        <v>0</v>
      </c>
    </row>
    <row r="1029">
      <c r="A1029" s="12"/>
      <c r="B1029" s="12"/>
      <c r="C1029" s="12"/>
      <c r="D1029" s="13"/>
      <c r="E1029" s="78"/>
      <c r="F1029" s="15"/>
      <c r="G1029" s="26"/>
      <c r="H1029" s="12" t="b">
        <v>0</v>
      </c>
      <c r="I1029" s="28"/>
      <c r="J1029" s="12" t="b">
        <v>0</v>
      </c>
    </row>
    <row r="1030">
      <c r="A1030" s="12"/>
      <c r="B1030" s="12"/>
      <c r="C1030" s="12"/>
      <c r="D1030" s="13"/>
      <c r="E1030" s="78"/>
      <c r="F1030" s="15"/>
      <c r="G1030" s="26"/>
      <c r="H1030" s="12" t="b">
        <v>0</v>
      </c>
      <c r="I1030" s="28"/>
      <c r="J1030" s="12" t="b">
        <v>0</v>
      </c>
    </row>
    <row r="1031">
      <c r="A1031" s="12"/>
      <c r="B1031" s="12"/>
      <c r="C1031" s="12"/>
      <c r="D1031" s="13"/>
      <c r="E1031" s="78"/>
      <c r="F1031" s="15"/>
      <c r="G1031" s="26"/>
      <c r="H1031" s="12" t="b">
        <v>0</v>
      </c>
      <c r="I1031" s="28"/>
      <c r="J1031" s="12" t="b">
        <v>0</v>
      </c>
    </row>
    <row r="1032">
      <c r="A1032" s="12"/>
      <c r="B1032" s="12"/>
      <c r="C1032" s="12"/>
      <c r="D1032" s="13"/>
      <c r="E1032" s="78"/>
      <c r="F1032" s="15"/>
      <c r="G1032" s="26"/>
      <c r="H1032" s="12" t="b">
        <v>0</v>
      </c>
      <c r="I1032" s="28"/>
      <c r="J1032" s="12" t="b">
        <v>0</v>
      </c>
    </row>
    <row r="1033">
      <c r="A1033" s="12"/>
      <c r="B1033" s="12"/>
      <c r="C1033" s="12"/>
      <c r="D1033" s="13"/>
      <c r="E1033" s="78"/>
      <c r="F1033" s="15"/>
      <c r="G1033" s="26"/>
      <c r="H1033" s="12" t="b">
        <v>0</v>
      </c>
      <c r="I1033" s="28"/>
      <c r="J1033" s="12" t="b">
        <v>0</v>
      </c>
    </row>
    <row r="1034">
      <c r="A1034" s="12"/>
      <c r="B1034" s="12"/>
      <c r="C1034" s="12"/>
      <c r="D1034" s="13"/>
      <c r="E1034" s="78"/>
      <c r="F1034" s="15"/>
      <c r="G1034" s="26"/>
      <c r="H1034" s="12" t="b">
        <v>0</v>
      </c>
      <c r="I1034" s="28"/>
      <c r="J1034" s="12" t="b">
        <v>0</v>
      </c>
    </row>
    <row r="1035">
      <c r="A1035" s="12"/>
      <c r="B1035" s="12"/>
      <c r="C1035" s="12"/>
      <c r="D1035" s="13"/>
      <c r="E1035" s="78"/>
      <c r="F1035" s="15"/>
      <c r="G1035" s="26"/>
      <c r="H1035" s="12" t="b">
        <v>0</v>
      </c>
      <c r="I1035" s="28"/>
      <c r="J1035" s="12" t="b">
        <v>0</v>
      </c>
    </row>
    <row r="1036">
      <c r="A1036" s="12"/>
      <c r="B1036" s="12"/>
      <c r="C1036" s="12"/>
      <c r="D1036" s="13"/>
      <c r="E1036" s="78"/>
      <c r="F1036" s="15"/>
      <c r="G1036" s="26"/>
      <c r="H1036" s="12" t="b">
        <v>0</v>
      </c>
      <c r="I1036" s="28"/>
      <c r="J1036" s="12" t="b">
        <v>0</v>
      </c>
    </row>
    <row r="1037">
      <c r="A1037" s="12"/>
      <c r="B1037" s="12"/>
      <c r="C1037" s="12"/>
      <c r="D1037" s="13"/>
      <c r="E1037" s="78"/>
      <c r="F1037" s="15"/>
      <c r="G1037" s="26"/>
      <c r="H1037" s="12" t="b">
        <v>0</v>
      </c>
      <c r="I1037" s="28"/>
      <c r="J1037" s="12" t="b">
        <v>0</v>
      </c>
    </row>
    <row r="1038">
      <c r="A1038" s="12"/>
      <c r="B1038" s="12"/>
      <c r="C1038" s="12"/>
      <c r="D1038" s="13"/>
      <c r="E1038" s="78"/>
      <c r="F1038" s="15"/>
      <c r="G1038" s="26"/>
      <c r="H1038" s="12" t="b">
        <v>0</v>
      </c>
      <c r="I1038" s="28"/>
      <c r="J1038" s="12" t="b">
        <v>0</v>
      </c>
    </row>
    <row r="1039">
      <c r="A1039" s="12"/>
      <c r="B1039" s="12"/>
      <c r="C1039" s="12"/>
      <c r="D1039" s="13"/>
      <c r="E1039" s="78"/>
      <c r="F1039" s="15"/>
      <c r="G1039" s="26"/>
      <c r="H1039" s="12" t="b">
        <v>0</v>
      </c>
      <c r="I1039" s="28"/>
      <c r="J1039" s="12" t="b">
        <v>0</v>
      </c>
    </row>
    <row r="1040">
      <c r="A1040" s="12"/>
      <c r="B1040" s="12"/>
      <c r="C1040" s="12"/>
      <c r="D1040" s="13"/>
      <c r="E1040" s="78"/>
      <c r="F1040" s="15"/>
      <c r="G1040" s="26"/>
      <c r="H1040" s="12" t="b">
        <v>0</v>
      </c>
      <c r="I1040" s="28"/>
      <c r="J1040" s="12" t="b">
        <v>0</v>
      </c>
    </row>
    <row r="1041">
      <c r="A1041" s="12"/>
      <c r="B1041" s="12"/>
      <c r="C1041" s="12"/>
      <c r="D1041" s="13"/>
      <c r="E1041" s="78"/>
      <c r="F1041" s="15"/>
      <c r="G1041" s="26"/>
      <c r="H1041" s="12" t="b">
        <v>0</v>
      </c>
      <c r="I1041" s="28"/>
      <c r="J1041" s="12" t="b">
        <v>0</v>
      </c>
    </row>
    <row r="1042">
      <c r="A1042" s="12"/>
      <c r="B1042" s="12"/>
      <c r="C1042" s="12"/>
      <c r="D1042" s="13"/>
      <c r="E1042" s="78"/>
      <c r="F1042" s="15"/>
      <c r="G1042" s="26"/>
      <c r="H1042" s="12" t="b">
        <v>0</v>
      </c>
      <c r="I1042" s="28"/>
      <c r="J1042" s="12" t="b">
        <v>0</v>
      </c>
    </row>
    <row r="1043">
      <c r="A1043" s="12"/>
      <c r="B1043" s="12"/>
      <c r="C1043" s="12"/>
      <c r="D1043" s="13"/>
      <c r="E1043" s="78"/>
      <c r="F1043" s="15"/>
      <c r="G1043" s="26"/>
      <c r="H1043" s="12" t="b">
        <v>0</v>
      </c>
      <c r="I1043" s="28"/>
      <c r="J1043" s="12" t="b">
        <v>0</v>
      </c>
    </row>
    <row r="1044">
      <c r="A1044" s="12"/>
      <c r="B1044" s="12"/>
      <c r="C1044" s="12"/>
      <c r="D1044" s="13"/>
      <c r="E1044" s="78"/>
      <c r="F1044" s="15"/>
      <c r="G1044" s="26"/>
      <c r="H1044" s="12" t="b">
        <v>0</v>
      </c>
      <c r="I1044" s="28"/>
      <c r="J1044" s="12" t="b">
        <v>0</v>
      </c>
    </row>
    <row r="1045">
      <c r="A1045" s="12"/>
      <c r="B1045" s="12"/>
      <c r="C1045" s="12"/>
      <c r="D1045" s="13"/>
      <c r="E1045" s="78"/>
      <c r="F1045" s="15"/>
      <c r="G1045" s="26"/>
      <c r="H1045" s="12" t="b">
        <v>0</v>
      </c>
      <c r="I1045" s="28"/>
      <c r="J1045" s="12" t="b">
        <v>0</v>
      </c>
    </row>
    <row r="1046">
      <c r="A1046" s="12"/>
      <c r="B1046" s="12"/>
      <c r="C1046" s="12"/>
      <c r="D1046" s="13"/>
      <c r="E1046" s="78"/>
      <c r="F1046" s="15"/>
      <c r="G1046" s="26"/>
      <c r="H1046" s="12" t="b">
        <v>0</v>
      </c>
      <c r="I1046" s="28"/>
      <c r="J1046" s="12" t="b">
        <v>0</v>
      </c>
    </row>
    <row r="1047">
      <c r="A1047" s="12"/>
      <c r="B1047" s="12"/>
      <c r="C1047" s="12"/>
      <c r="D1047" s="13"/>
      <c r="E1047" s="78"/>
      <c r="F1047" s="15"/>
      <c r="G1047" s="26"/>
      <c r="H1047" s="12" t="b">
        <v>0</v>
      </c>
      <c r="I1047" s="28"/>
      <c r="J1047" s="12" t="b">
        <v>0</v>
      </c>
    </row>
    <row r="1048">
      <c r="A1048" s="12"/>
      <c r="B1048" s="12"/>
      <c r="C1048" s="12"/>
      <c r="D1048" s="13"/>
      <c r="E1048" s="78"/>
      <c r="F1048" s="15"/>
      <c r="G1048" s="26"/>
      <c r="H1048" s="12" t="b">
        <v>0</v>
      </c>
      <c r="I1048" s="28"/>
      <c r="J1048" s="12" t="b">
        <v>0</v>
      </c>
    </row>
    <row r="1049">
      <c r="A1049" s="12"/>
      <c r="B1049" s="12"/>
      <c r="C1049" s="12"/>
      <c r="D1049" s="13"/>
      <c r="E1049" s="78"/>
      <c r="F1049" s="15"/>
      <c r="G1049" s="26"/>
      <c r="H1049" s="12" t="b">
        <v>0</v>
      </c>
      <c r="I1049" s="28"/>
      <c r="J1049" s="12" t="b">
        <v>0</v>
      </c>
    </row>
    <row r="1050">
      <c r="A1050" s="12"/>
      <c r="B1050" s="12"/>
      <c r="C1050" s="12"/>
      <c r="D1050" s="13"/>
      <c r="E1050" s="78"/>
      <c r="F1050" s="15"/>
      <c r="G1050" s="26"/>
      <c r="H1050" s="12" t="b">
        <v>0</v>
      </c>
      <c r="I1050" s="28"/>
      <c r="J1050" s="12" t="b">
        <v>0</v>
      </c>
    </row>
    <row r="1051">
      <c r="A1051" s="12"/>
      <c r="B1051" s="12"/>
      <c r="C1051" s="12"/>
      <c r="D1051" s="13"/>
      <c r="E1051" s="78"/>
      <c r="F1051" s="15"/>
      <c r="G1051" s="26"/>
      <c r="H1051" s="12" t="b">
        <v>0</v>
      </c>
      <c r="I1051" s="28"/>
      <c r="J1051" s="12" t="b">
        <v>0</v>
      </c>
    </row>
    <row r="1052">
      <c r="A1052" s="12"/>
      <c r="B1052" s="12"/>
      <c r="C1052" s="12"/>
      <c r="D1052" s="13"/>
      <c r="E1052" s="78"/>
      <c r="F1052" s="15"/>
      <c r="G1052" s="26"/>
      <c r="H1052" s="12" t="b">
        <v>0</v>
      </c>
      <c r="I1052" s="28"/>
      <c r="J1052" s="12" t="b">
        <v>0</v>
      </c>
    </row>
    <row r="1053">
      <c r="A1053" s="12"/>
      <c r="B1053" s="12"/>
      <c r="C1053" s="12"/>
      <c r="D1053" s="13"/>
      <c r="E1053" s="78"/>
      <c r="F1053" s="15"/>
      <c r="G1053" s="26"/>
      <c r="H1053" s="12" t="b">
        <v>0</v>
      </c>
      <c r="I1053" s="28"/>
      <c r="J1053" s="12" t="b">
        <v>0</v>
      </c>
    </row>
    <row r="1054">
      <c r="A1054" s="12"/>
      <c r="B1054" s="12"/>
      <c r="C1054" s="12"/>
      <c r="D1054" s="13"/>
      <c r="E1054" s="78"/>
      <c r="F1054" s="15"/>
      <c r="G1054" s="26"/>
      <c r="H1054" s="12" t="b">
        <v>0</v>
      </c>
      <c r="I1054" s="28"/>
      <c r="J1054" s="12" t="b">
        <v>0</v>
      </c>
    </row>
    <row r="1055">
      <c r="A1055" s="12"/>
      <c r="B1055" s="12"/>
      <c r="C1055" s="12"/>
      <c r="D1055" s="13"/>
      <c r="E1055" s="78"/>
      <c r="F1055" s="15"/>
      <c r="G1055" s="26"/>
      <c r="H1055" s="12" t="b">
        <v>0</v>
      </c>
      <c r="I1055" s="28"/>
      <c r="J1055" s="12" t="b">
        <v>0</v>
      </c>
    </row>
    <row r="1056">
      <c r="A1056" s="12"/>
      <c r="B1056" s="12"/>
      <c r="C1056" s="12"/>
      <c r="D1056" s="13"/>
      <c r="E1056" s="78"/>
      <c r="F1056" s="15"/>
      <c r="G1056" s="26"/>
      <c r="H1056" s="12" t="b">
        <v>0</v>
      </c>
      <c r="I1056" s="28"/>
      <c r="J1056" s="12" t="b">
        <v>0</v>
      </c>
    </row>
    <row r="1057">
      <c r="A1057" s="12"/>
      <c r="B1057" s="12"/>
      <c r="C1057" s="12"/>
      <c r="D1057" s="13"/>
      <c r="E1057" s="78"/>
      <c r="F1057" s="15"/>
      <c r="G1057" s="26"/>
      <c r="H1057" s="12" t="b">
        <v>0</v>
      </c>
      <c r="I1057" s="28"/>
      <c r="J1057" s="12" t="b">
        <v>0</v>
      </c>
    </row>
    <row r="1058">
      <c r="A1058" s="12"/>
      <c r="B1058" s="12"/>
      <c r="C1058" s="12"/>
      <c r="D1058" s="13"/>
      <c r="E1058" s="78"/>
      <c r="F1058" s="15"/>
      <c r="G1058" s="26"/>
      <c r="H1058" s="12" t="b">
        <v>0</v>
      </c>
      <c r="I1058" s="28"/>
      <c r="J1058" s="12" t="b">
        <v>0</v>
      </c>
    </row>
    <row r="1059">
      <c r="A1059" s="12"/>
      <c r="B1059" s="12"/>
      <c r="C1059" s="12"/>
      <c r="D1059" s="13"/>
      <c r="E1059" s="78"/>
      <c r="F1059" s="15"/>
      <c r="G1059" s="26"/>
      <c r="H1059" s="12" t="b">
        <v>0</v>
      </c>
      <c r="I1059" s="28"/>
      <c r="J1059" s="12" t="b">
        <v>0</v>
      </c>
    </row>
    <row r="1060">
      <c r="A1060" s="12"/>
      <c r="B1060" s="12"/>
      <c r="C1060" s="12"/>
      <c r="D1060" s="13"/>
      <c r="E1060" s="78"/>
      <c r="F1060" s="15"/>
      <c r="G1060" s="26"/>
      <c r="H1060" s="12" t="b">
        <v>0</v>
      </c>
      <c r="I1060" s="28"/>
      <c r="J1060" s="12" t="b">
        <v>0</v>
      </c>
    </row>
    <row r="1061">
      <c r="A1061" s="12"/>
      <c r="B1061" s="12"/>
      <c r="C1061" s="12"/>
      <c r="D1061" s="13"/>
      <c r="E1061" s="78"/>
      <c r="F1061" s="15"/>
      <c r="G1061" s="26"/>
      <c r="H1061" s="12" t="b">
        <v>0</v>
      </c>
      <c r="I1061" s="28"/>
      <c r="J1061" s="12" t="b">
        <v>0</v>
      </c>
    </row>
    <row r="1062">
      <c r="A1062" s="12"/>
      <c r="B1062" s="12"/>
      <c r="C1062" s="12"/>
      <c r="D1062" s="13"/>
      <c r="E1062" s="78"/>
      <c r="F1062" s="15"/>
      <c r="G1062" s="26"/>
      <c r="H1062" s="12" t="b">
        <v>0</v>
      </c>
      <c r="I1062" s="28"/>
      <c r="J1062" s="12" t="b">
        <v>0</v>
      </c>
    </row>
    <row r="1063">
      <c r="A1063" s="12"/>
      <c r="B1063" s="12"/>
      <c r="C1063" s="12"/>
      <c r="D1063" s="13"/>
      <c r="E1063" s="78"/>
      <c r="F1063" s="15"/>
      <c r="G1063" s="26"/>
      <c r="H1063" s="12" t="b">
        <v>0</v>
      </c>
      <c r="I1063" s="28"/>
      <c r="J1063" s="12" t="b">
        <v>0</v>
      </c>
    </row>
    <row r="1064">
      <c r="A1064" s="12"/>
      <c r="B1064" s="12"/>
      <c r="C1064" s="12"/>
      <c r="D1064" s="13"/>
      <c r="E1064" s="78"/>
      <c r="F1064" s="15"/>
      <c r="G1064" s="26"/>
      <c r="H1064" s="12" t="b">
        <v>0</v>
      </c>
      <c r="I1064" s="28"/>
      <c r="J1064" s="12" t="b">
        <v>0</v>
      </c>
    </row>
    <row r="1065">
      <c r="A1065" s="12"/>
      <c r="B1065" s="12"/>
      <c r="C1065" s="12"/>
      <c r="D1065" s="13"/>
      <c r="E1065" s="78"/>
      <c r="F1065" s="15"/>
      <c r="G1065" s="26"/>
      <c r="H1065" s="12" t="b">
        <v>0</v>
      </c>
      <c r="I1065" s="28"/>
      <c r="J1065" s="12" t="b">
        <v>0</v>
      </c>
    </row>
    <row r="1066">
      <c r="A1066" s="12"/>
      <c r="B1066" s="12"/>
      <c r="C1066" s="12"/>
      <c r="D1066" s="13"/>
      <c r="E1066" s="78"/>
      <c r="F1066" s="15"/>
      <c r="G1066" s="26"/>
      <c r="H1066" s="12" t="b">
        <v>0</v>
      </c>
      <c r="I1066" s="28"/>
      <c r="J1066" s="12" t="b">
        <v>0</v>
      </c>
    </row>
    <row r="1067">
      <c r="A1067" s="12"/>
      <c r="B1067" s="12"/>
      <c r="C1067" s="12"/>
      <c r="D1067" s="13"/>
      <c r="E1067" s="78"/>
      <c r="F1067" s="15"/>
      <c r="G1067" s="26"/>
      <c r="H1067" s="12" t="b">
        <v>0</v>
      </c>
      <c r="I1067" s="28"/>
      <c r="J1067" s="12" t="b">
        <v>0</v>
      </c>
    </row>
    <row r="1068">
      <c r="A1068" s="12"/>
      <c r="B1068" s="12"/>
      <c r="C1068" s="12"/>
      <c r="D1068" s="13"/>
      <c r="E1068" s="78"/>
      <c r="F1068" s="15"/>
      <c r="G1068" s="26"/>
      <c r="H1068" s="12" t="b">
        <v>0</v>
      </c>
      <c r="I1068" s="28"/>
      <c r="J1068" s="12" t="b">
        <v>0</v>
      </c>
    </row>
    <row r="1069">
      <c r="A1069" s="12"/>
      <c r="B1069" s="12"/>
      <c r="C1069" s="12"/>
      <c r="D1069" s="13"/>
      <c r="E1069" s="78"/>
      <c r="F1069" s="15"/>
      <c r="G1069" s="26"/>
      <c r="H1069" s="12" t="b">
        <v>0</v>
      </c>
      <c r="I1069" s="28"/>
      <c r="J1069" s="12" t="b">
        <v>0</v>
      </c>
    </row>
    <row r="1070">
      <c r="A1070" s="12"/>
      <c r="B1070" s="12"/>
      <c r="C1070" s="12"/>
      <c r="D1070" s="13"/>
      <c r="E1070" s="78"/>
      <c r="F1070" s="15"/>
      <c r="G1070" s="26"/>
      <c r="H1070" s="12" t="b">
        <v>0</v>
      </c>
      <c r="I1070" s="28"/>
      <c r="J1070" s="12" t="b">
        <v>0</v>
      </c>
    </row>
    <row r="1071">
      <c r="A1071" s="12"/>
      <c r="B1071" s="12"/>
      <c r="C1071" s="12"/>
      <c r="D1071" s="13"/>
      <c r="E1071" s="78"/>
      <c r="F1071" s="15"/>
      <c r="G1071" s="26"/>
      <c r="H1071" s="12" t="b">
        <v>0</v>
      </c>
      <c r="I1071" s="28"/>
      <c r="J1071" s="12" t="b">
        <v>0</v>
      </c>
    </row>
    <row r="1072">
      <c r="A1072" s="12"/>
      <c r="B1072" s="12"/>
      <c r="C1072" s="12"/>
      <c r="D1072" s="13"/>
      <c r="E1072" s="78"/>
      <c r="F1072" s="15"/>
      <c r="G1072" s="26"/>
      <c r="H1072" s="12" t="b">
        <v>0</v>
      </c>
      <c r="I1072" s="28"/>
      <c r="J1072" s="12" t="b">
        <v>0</v>
      </c>
    </row>
    <row r="1073">
      <c r="A1073" s="12"/>
      <c r="B1073" s="12"/>
      <c r="C1073" s="12"/>
      <c r="D1073" s="13"/>
      <c r="E1073" s="78"/>
      <c r="F1073" s="15"/>
      <c r="G1073" s="26"/>
      <c r="H1073" s="12" t="b">
        <v>0</v>
      </c>
      <c r="I1073" s="28"/>
      <c r="J1073" s="12" t="b">
        <v>0</v>
      </c>
    </row>
    <row r="1074">
      <c r="A1074" s="12"/>
      <c r="B1074" s="12"/>
      <c r="C1074" s="12"/>
      <c r="D1074" s="13"/>
      <c r="E1074" s="78"/>
      <c r="F1074" s="15"/>
      <c r="G1074" s="26"/>
      <c r="H1074" s="12" t="b">
        <v>0</v>
      </c>
      <c r="I1074" s="28"/>
      <c r="J1074" s="12" t="b">
        <v>0</v>
      </c>
    </row>
    <row r="1075">
      <c r="A1075" s="12"/>
      <c r="B1075" s="12"/>
      <c r="C1075" s="12"/>
      <c r="D1075" s="13"/>
      <c r="E1075" s="78"/>
      <c r="F1075" s="15"/>
      <c r="G1075" s="26"/>
      <c r="H1075" s="12" t="b">
        <v>0</v>
      </c>
      <c r="I1075" s="28"/>
      <c r="J1075" s="12" t="b">
        <v>0</v>
      </c>
    </row>
    <row r="1076">
      <c r="A1076" s="12"/>
      <c r="B1076" s="12"/>
      <c r="C1076" s="12"/>
      <c r="D1076" s="13"/>
      <c r="E1076" s="78"/>
      <c r="F1076" s="15"/>
      <c r="G1076" s="26"/>
      <c r="H1076" s="12" t="b">
        <v>0</v>
      </c>
      <c r="I1076" s="28"/>
      <c r="J1076" s="12" t="b">
        <v>0</v>
      </c>
    </row>
    <row r="1077">
      <c r="A1077" s="12"/>
      <c r="B1077" s="12"/>
      <c r="C1077" s="12"/>
      <c r="D1077" s="13"/>
      <c r="E1077" s="78"/>
      <c r="F1077" s="15"/>
      <c r="G1077" s="26"/>
      <c r="H1077" s="12" t="b">
        <v>0</v>
      </c>
      <c r="I1077" s="28"/>
      <c r="J1077" s="12" t="b">
        <v>0</v>
      </c>
    </row>
    <row r="1078">
      <c r="A1078" s="12"/>
      <c r="B1078" s="12"/>
      <c r="C1078" s="12"/>
      <c r="D1078" s="13"/>
      <c r="E1078" s="78"/>
      <c r="F1078" s="15"/>
      <c r="G1078" s="26"/>
      <c r="H1078" s="12" t="b">
        <v>0</v>
      </c>
      <c r="I1078" s="28"/>
      <c r="J1078" s="12" t="b">
        <v>0</v>
      </c>
    </row>
    <row r="1079">
      <c r="A1079" s="12"/>
      <c r="B1079" s="12"/>
      <c r="C1079" s="12"/>
      <c r="D1079" s="13"/>
      <c r="E1079" s="78"/>
      <c r="F1079" s="15"/>
      <c r="G1079" s="26"/>
      <c r="H1079" s="12" t="b">
        <v>0</v>
      </c>
      <c r="I1079" s="28"/>
      <c r="J1079" s="12" t="b">
        <v>0</v>
      </c>
    </row>
    <row r="1080">
      <c r="A1080" s="12"/>
      <c r="B1080" s="12"/>
      <c r="C1080" s="12"/>
      <c r="D1080" s="13"/>
      <c r="E1080" s="78"/>
      <c r="F1080" s="15"/>
      <c r="G1080" s="26"/>
      <c r="H1080" s="12" t="b">
        <v>0</v>
      </c>
      <c r="I1080" s="28"/>
      <c r="J1080" s="12" t="b">
        <v>0</v>
      </c>
    </row>
    <row r="1081">
      <c r="A1081" s="12"/>
      <c r="B1081" s="12"/>
      <c r="C1081" s="12"/>
      <c r="D1081" s="13"/>
      <c r="E1081" s="78"/>
      <c r="F1081" s="15"/>
      <c r="G1081" s="26"/>
      <c r="H1081" s="12" t="b">
        <v>0</v>
      </c>
      <c r="I1081" s="28"/>
      <c r="J1081" s="12" t="b">
        <v>0</v>
      </c>
    </row>
    <row r="1082">
      <c r="A1082" s="12"/>
      <c r="B1082" s="12"/>
      <c r="C1082" s="12"/>
      <c r="D1082" s="13"/>
      <c r="E1082" s="78"/>
      <c r="F1082" s="15"/>
      <c r="G1082" s="26"/>
      <c r="H1082" s="12" t="b">
        <v>0</v>
      </c>
      <c r="I1082" s="28"/>
      <c r="J1082" s="12" t="b">
        <v>0</v>
      </c>
    </row>
    <row r="1083">
      <c r="A1083" s="12"/>
      <c r="B1083" s="12"/>
      <c r="C1083" s="12"/>
      <c r="D1083" s="13"/>
      <c r="E1083" s="78"/>
      <c r="F1083" s="15"/>
      <c r="G1083" s="26"/>
      <c r="H1083" s="12" t="b">
        <v>0</v>
      </c>
      <c r="I1083" s="28"/>
      <c r="J1083" s="12" t="b">
        <v>0</v>
      </c>
    </row>
    <row r="1084">
      <c r="A1084" s="12"/>
      <c r="B1084" s="12"/>
      <c r="C1084" s="12"/>
      <c r="D1084" s="13"/>
      <c r="E1084" s="78"/>
      <c r="F1084" s="15"/>
      <c r="G1084" s="26"/>
      <c r="H1084" s="12" t="b">
        <v>0</v>
      </c>
      <c r="I1084" s="28"/>
      <c r="J1084" s="12" t="b">
        <v>0</v>
      </c>
    </row>
    <row r="1085">
      <c r="A1085" s="12"/>
      <c r="B1085" s="12"/>
      <c r="C1085" s="12"/>
      <c r="D1085" s="13"/>
      <c r="E1085" s="78"/>
      <c r="F1085" s="15"/>
      <c r="G1085" s="26"/>
      <c r="H1085" s="12" t="b">
        <v>0</v>
      </c>
      <c r="I1085" s="28"/>
      <c r="J1085" s="12" t="b">
        <v>0</v>
      </c>
    </row>
    <row r="1086">
      <c r="A1086" s="12"/>
      <c r="B1086" s="12"/>
      <c r="C1086" s="12"/>
      <c r="D1086" s="13"/>
      <c r="E1086" s="78"/>
      <c r="F1086" s="15"/>
      <c r="G1086" s="26"/>
      <c r="H1086" s="12" t="b">
        <v>0</v>
      </c>
      <c r="I1086" s="28"/>
      <c r="J1086" s="12" t="b">
        <v>0</v>
      </c>
    </row>
    <row r="1087">
      <c r="A1087" s="12"/>
      <c r="B1087" s="12"/>
      <c r="C1087" s="12"/>
      <c r="D1087" s="13"/>
      <c r="E1087" s="78"/>
      <c r="F1087" s="15"/>
      <c r="G1087" s="26"/>
      <c r="H1087" s="12" t="b">
        <v>0</v>
      </c>
      <c r="I1087" s="28"/>
      <c r="J1087" s="12" t="b">
        <v>0</v>
      </c>
    </row>
    <row r="1088">
      <c r="A1088" s="12"/>
      <c r="B1088" s="12"/>
      <c r="C1088" s="12"/>
      <c r="D1088" s="13"/>
      <c r="E1088" s="78"/>
      <c r="F1088" s="15"/>
      <c r="G1088" s="26"/>
      <c r="H1088" s="12" t="b">
        <v>0</v>
      </c>
      <c r="I1088" s="28"/>
      <c r="J1088" s="12" t="b">
        <v>0</v>
      </c>
    </row>
    <row r="1089">
      <c r="A1089" s="12"/>
      <c r="B1089" s="12"/>
      <c r="C1089" s="12"/>
      <c r="D1089" s="13"/>
      <c r="E1089" s="78"/>
      <c r="F1089" s="15"/>
      <c r="G1089" s="26"/>
      <c r="H1089" s="12" t="b">
        <v>0</v>
      </c>
      <c r="I1089" s="28"/>
      <c r="J1089" s="12" t="b">
        <v>0</v>
      </c>
    </row>
    <row r="1090">
      <c r="A1090" s="12"/>
      <c r="B1090" s="12"/>
      <c r="C1090" s="12"/>
      <c r="D1090" s="13"/>
      <c r="E1090" s="78"/>
      <c r="F1090" s="15"/>
      <c r="G1090" s="26"/>
      <c r="H1090" s="12" t="b">
        <v>0</v>
      </c>
      <c r="I1090" s="28"/>
      <c r="J1090" s="12" t="b">
        <v>0</v>
      </c>
    </row>
    <row r="1091">
      <c r="A1091" s="12"/>
      <c r="B1091" s="12"/>
      <c r="C1091" s="12"/>
      <c r="D1091" s="13"/>
      <c r="E1091" s="78"/>
      <c r="F1091" s="15"/>
      <c r="G1091" s="26"/>
      <c r="H1091" s="12" t="b">
        <v>0</v>
      </c>
      <c r="I1091" s="28"/>
      <c r="J1091" s="12" t="b">
        <v>0</v>
      </c>
    </row>
    <row r="1092">
      <c r="A1092" s="12"/>
      <c r="B1092" s="12"/>
      <c r="C1092" s="12"/>
      <c r="D1092" s="13"/>
      <c r="E1092" s="78"/>
      <c r="F1092" s="15"/>
      <c r="G1092" s="26"/>
      <c r="H1092" s="12" t="b">
        <v>0</v>
      </c>
      <c r="I1092" s="28"/>
      <c r="J1092" s="12" t="b">
        <v>0</v>
      </c>
    </row>
    <row r="1093">
      <c r="A1093" s="12"/>
      <c r="B1093" s="12"/>
      <c r="C1093" s="12"/>
      <c r="D1093" s="13"/>
      <c r="E1093" s="78"/>
      <c r="F1093" s="15"/>
      <c r="G1093" s="26"/>
      <c r="H1093" s="12" t="b">
        <v>0</v>
      </c>
      <c r="I1093" s="28"/>
      <c r="J1093" s="12" t="b">
        <v>0</v>
      </c>
    </row>
    <row r="1094">
      <c r="A1094" s="12"/>
      <c r="B1094" s="12"/>
      <c r="C1094" s="12"/>
      <c r="D1094" s="13"/>
      <c r="E1094" s="78"/>
      <c r="F1094" s="15"/>
      <c r="G1094" s="26"/>
      <c r="H1094" s="12" t="b">
        <v>0</v>
      </c>
      <c r="I1094" s="28"/>
      <c r="J1094" s="12" t="b">
        <v>0</v>
      </c>
    </row>
    <row r="1095">
      <c r="A1095" s="12"/>
      <c r="B1095" s="12"/>
      <c r="C1095" s="12"/>
      <c r="D1095" s="13"/>
      <c r="E1095" s="78"/>
      <c r="F1095" s="15"/>
      <c r="G1095" s="26"/>
      <c r="H1095" s="12" t="b">
        <v>0</v>
      </c>
      <c r="I1095" s="28"/>
      <c r="J1095" s="12" t="b">
        <v>0</v>
      </c>
    </row>
    <row r="1096">
      <c r="A1096" s="12"/>
      <c r="B1096" s="12"/>
      <c r="C1096" s="12"/>
      <c r="D1096" s="13"/>
      <c r="E1096" s="78"/>
      <c r="F1096" s="15"/>
      <c r="G1096" s="26"/>
      <c r="H1096" s="12" t="b">
        <v>0</v>
      </c>
      <c r="I1096" s="28"/>
      <c r="J1096" s="12" t="b">
        <v>0</v>
      </c>
    </row>
    <row r="1097">
      <c r="A1097" s="12"/>
      <c r="B1097" s="12"/>
      <c r="C1097" s="12"/>
      <c r="D1097" s="13"/>
      <c r="E1097" s="78"/>
      <c r="F1097" s="15"/>
      <c r="G1097" s="26"/>
      <c r="H1097" s="12" t="b">
        <v>0</v>
      </c>
      <c r="I1097" s="28"/>
      <c r="J1097" s="12" t="b">
        <v>0</v>
      </c>
    </row>
    <row r="1098">
      <c r="A1098" s="12"/>
      <c r="B1098" s="12"/>
      <c r="C1098" s="12"/>
      <c r="D1098" s="13"/>
      <c r="E1098" s="78"/>
      <c r="F1098" s="15"/>
      <c r="G1098" s="26"/>
      <c r="H1098" s="12" t="b">
        <v>0</v>
      </c>
      <c r="I1098" s="28"/>
      <c r="J1098" s="12" t="b">
        <v>0</v>
      </c>
    </row>
    <row r="1099">
      <c r="A1099" s="12"/>
      <c r="B1099" s="12"/>
      <c r="C1099" s="12"/>
      <c r="D1099" s="13"/>
      <c r="E1099" s="78"/>
      <c r="F1099" s="15"/>
      <c r="G1099" s="26"/>
      <c r="H1099" s="12" t="b">
        <v>0</v>
      </c>
      <c r="I1099" s="28"/>
      <c r="J1099" s="12" t="b">
        <v>0</v>
      </c>
    </row>
    <row r="1100">
      <c r="A1100" s="12"/>
      <c r="B1100" s="12"/>
      <c r="C1100" s="12"/>
      <c r="D1100" s="13"/>
      <c r="E1100" s="78"/>
      <c r="F1100" s="15"/>
      <c r="G1100" s="26"/>
      <c r="H1100" s="12" t="b">
        <v>0</v>
      </c>
      <c r="I1100" s="28"/>
      <c r="J1100" s="12" t="b">
        <v>0</v>
      </c>
    </row>
    <row r="1101">
      <c r="A1101" s="12"/>
      <c r="B1101" s="12"/>
      <c r="C1101" s="12"/>
      <c r="D1101" s="13"/>
      <c r="E1101" s="78"/>
      <c r="F1101" s="15"/>
      <c r="G1101" s="26"/>
      <c r="H1101" s="12" t="b">
        <v>0</v>
      </c>
      <c r="I1101" s="28"/>
      <c r="J1101" s="12" t="b">
        <v>0</v>
      </c>
    </row>
    <row r="1102">
      <c r="A1102" s="12"/>
      <c r="B1102" s="12"/>
      <c r="C1102" s="12"/>
      <c r="D1102" s="13"/>
      <c r="E1102" s="78"/>
      <c r="F1102" s="15"/>
      <c r="G1102" s="26"/>
      <c r="H1102" s="12" t="b">
        <v>0</v>
      </c>
      <c r="I1102" s="28"/>
      <c r="J1102" s="12" t="b">
        <v>0</v>
      </c>
    </row>
    <row r="1103">
      <c r="A1103" s="12"/>
      <c r="B1103" s="12"/>
      <c r="C1103" s="12"/>
      <c r="D1103" s="13"/>
      <c r="E1103" s="78"/>
      <c r="F1103" s="15"/>
      <c r="G1103" s="26"/>
      <c r="H1103" s="12" t="b">
        <v>0</v>
      </c>
      <c r="I1103" s="28"/>
      <c r="J1103" s="12" t="b">
        <v>0</v>
      </c>
    </row>
    <row r="1104">
      <c r="A1104" s="12"/>
      <c r="B1104" s="12"/>
      <c r="C1104" s="12"/>
      <c r="D1104" s="13"/>
      <c r="E1104" s="78"/>
      <c r="F1104" s="15"/>
      <c r="G1104" s="26"/>
      <c r="H1104" s="12" t="b">
        <v>0</v>
      </c>
      <c r="I1104" s="28"/>
      <c r="J1104" s="12" t="b">
        <v>0</v>
      </c>
    </row>
    <row r="1105">
      <c r="A1105" s="12"/>
      <c r="B1105" s="12"/>
      <c r="C1105" s="12"/>
      <c r="D1105" s="13"/>
      <c r="E1105" s="78"/>
      <c r="F1105" s="15"/>
      <c r="G1105" s="26"/>
      <c r="H1105" s="12" t="b">
        <v>0</v>
      </c>
      <c r="I1105" s="28"/>
      <c r="J1105" s="12" t="b">
        <v>0</v>
      </c>
    </row>
    <row r="1106">
      <c r="A1106" s="12"/>
      <c r="B1106" s="12"/>
      <c r="C1106" s="12"/>
      <c r="D1106" s="13"/>
      <c r="E1106" s="78"/>
      <c r="F1106" s="15"/>
      <c r="G1106" s="26"/>
      <c r="H1106" s="12" t="b">
        <v>0</v>
      </c>
      <c r="I1106" s="28"/>
      <c r="J1106" s="12" t="b">
        <v>0</v>
      </c>
    </row>
    <row r="1107">
      <c r="A1107" s="12"/>
      <c r="B1107" s="12"/>
      <c r="C1107" s="12"/>
      <c r="D1107" s="13"/>
      <c r="E1107" s="78"/>
      <c r="F1107" s="15"/>
      <c r="G1107" s="26"/>
      <c r="H1107" s="12" t="b">
        <v>0</v>
      </c>
      <c r="I1107" s="28"/>
      <c r="J1107" s="12" t="b">
        <v>0</v>
      </c>
    </row>
    <row r="1108">
      <c r="A1108" s="12"/>
      <c r="B1108" s="12"/>
      <c r="C1108" s="12"/>
      <c r="D1108" s="13"/>
      <c r="E1108" s="78"/>
      <c r="F1108" s="15"/>
      <c r="G1108" s="26"/>
      <c r="H1108" s="12" t="b">
        <v>0</v>
      </c>
      <c r="I1108" s="28"/>
      <c r="J1108" s="12" t="b">
        <v>0</v>
      </c>
    </row>
    <row r="1109">
      <c r="A1109" s="12"/>
      <c r="B1109" s="12"/>
      <c r="C1109" s="12"/>
      <c r="D1109" s="13"/>
      <c r="E1109" s="78"/>
      <c r="F1109" s="15"/>
      <c r="G1109" s="26"/>
      <c r="H1109" s="12" t="b">
        <v>0</v>
      </c>
      <c r="I1109" s="28"/>
      <c r="J1109" s="12" t="b">
        <v>0</v>
      </c>
    </row>
    <row r="1110">
      <c r="A1110" s="12"/>
      <c r="B1110" s="12"/>
      <c r="C1110" s="12"/>
      <c r="D1110" s="13"/>
      <c r="E1110" s="78"/>
      <c r="F1110" s="15"/>
      <c r="G1110" s="26"/>
      <c r="H1110" s="12" t="b">
        <v>0</v>
      </c>
      <c r="I1110" s="28"/>
      <c r="J1110" s="12" t="b">
        <v>0</v>
      </c>
    </row>
    <row r="1111">
      <c r="A1111" s="12"/>
      <c r="B1111" s="12"/>
      <c r="C1111" s="12"/>
      <c r="D1111" s="13"/>
      <c r="E1111" s="78"/>
      <c r="F1111" s="15"/>
      <c r="G1111" s="26"/>
      <c r="H1111" s="12" t="b">
        <v>0</v>
      </c>
      <c r="I1111" s="28"/>
      <c r="J1111" s="12" t="b">
        <v>0</v>
      </c>
    </row>
    <row r="1112">
      <c r="A1112" s="12"/>
      <c r="B1112" s="12"/>
      <c r="C1112" s="12"/>
      <c r="D1112" s="13"/>
      <c r="E1112" s="78"/>
      <c r="F1112" s="15"/>
      <c r="G1112" s="26"/>
      <c r="H1112" s="12" t="b">
        <v>0</v>
      </c>
      <c r="I1112" s="28"/>
      <c r="J1112" s="12" t="b">
        <v>0</v>
      </c>
    </row>
    <row r="1113">
      <c r="A1113" s="12"/>
      <c r="B1113" s="12"/>
      <c r="C1113" s="12"/>
      <c r="D1113" s="13"/>
      <c r="E1113" s="78"/>
      <c r="F1113" s="15"/>
      <c r="G1113" s="26"/>
      <c r="H1113" s="12" t="b">
        <v>0</v>
      </c>
      <c r="I1113" s="28"/>
      <c r="J1113" s="12" t="b">
        <v>0</v>
      </c>
    </row>
    <row r="1114">
      <c r="A1114" s="12"/>
      <c r="B1114" s="12"/>
      <c r="C1114" s="12"/>
      <c r="D1114" s="13"/>
      <c r="E1114" s="78"/>
      <c r="F1114" s="15"/>
      <c r="G1114" s="26"/>
      <c r="H1114" s="12" t="b">
        <v>0</v>
      </c>
      <c r="I1114" s="28"/>
      <c r="J1114" s="12" t="b">
        <v>0</v>
      </c>
    </row>
    <row r="1115">
      <c r="A1115" s="12"/>
      <c r="B1115" s="12"/>
      <c r="C1115" s="12"/>
      <c r="D1115" s="13"/>
      <c r="E1115" s="78"/>
      <c r="F1115" s="15"/>
      <c r="G1115" s="26"/>
      <c r="H1115" s="12" t="b">
        <v>0</v>
      </c>
      <c r="I1115" s="28"/>
      <c r="J1115" s="12" t="b">
        <v>0</v>
      </c>
    </row>
    <row r="1116">
      <c r="A1116" s="12"/>
      <c r="B1116" s="12"/>
      <c r="C1116" s="12"/>
      <c r="D1116" s="13"/>
      <c r="E1116" s="78"/>
      <c r="F1116" s="15"/>
      <c r="G1116" s="26"/>
      <c r="H1116" s="12" t="b">
        <v>0</v>
      </c>
      <c r="I1116" s="28"/>
      <c r="J1116" s="12" t="b">
        <v>0</v>
      </c>
    </row>
    <row r="1117">
      <c r="A1117" s="12"/>
      <c r="B1117" s="12"/>
      <c r="C1117" s="12"/>
      <c r="D1117" s="13"/>
      <c r="E1117" s="78"/>
      <c r="F1117" s="15"/>
      <c r="G1117" s="26"/>
      <c r="H1117" s="12" t="b">
        <v>0</v>
      </c>
      <c r="I1117" s="28"/>
      <c r="J1117" s="12" t="b">
        <v>0</v>
      </c>
    </row>
    <row r="1118">
      <c r="A1118" s="12"/>
      <c r="B1118" s="12"/>
      <c r="C1118" s="12"/>
      <c r="D1118" s="13"/>
      <c r="E1118" s="78"/>
      <c r="F1118" s="15"/>
      <c r="G1118" s="26"/>
      <c r="H1118" s="12" t="b">
        <v>0</v>
      </c>
      <c r="I1118" s="28"/>
      <c r="J1118" s="12" t="b">
        <v>0</v>
      </c>
    </row>
    <row r="1119">
      <c r="A1119" s="12"/>
      <c r="B1119" s="12"/>
      <c r="C1119" s="12"/>
      <c r="D1119" s="13"/>
      <c r="E1119" s="78"/>
      <c r="F1119" s="15"/>
      <c r="G1119" s="26"/>
      <c r="H1119" s="12" t="b">
        <v>0</v>
      </c>
      <c r="I1119" s="28"/>
      <c r="J1119" s="12" t="b">
        <v>0</v>
      </c>
    </row>
    <row r="1120">
      <c r="A1120" s="12"/>
      <c r="B1120" s="12"/>
      <c r="C1120" s="12"/>
      <c r="D1120" s="13"/>
      <c r="E1120" s="78"/>
      <c r="F1120" s="15"/>
      <c r="G1120" s="26"/>
      <c r="H1120" s="12" t="b">
        <v>0</v>
      </c>
      <c r="I1120" s="28"/>
      <c r="J1120" s="12" t="b">
        <v>0</v>
      </c>
    </row>
    <row r="1121">
      <c r="A1121" s="12"/>
      <c r="B1121" s="12"/>
      <c r="C1121" s="12"/>
      <c r="D1121" s="13"/>
      <c r="E1121" s="78"/>
      <c r="F1121" s="15"/>
      <c r="G1121" s="26"/>
      <c r="H1121" s="12" t="b">
        <v>0</v>
      </c>
      <c r="I1121" s="28"/>
      <c r="J1121" s="12" t="b">
        <v>0</v>
      </c>
    </row>
    <row r="1122">
      <c r="A1122" s="12"/>
      <c r="B1122" s="12"/>
      <c r="C1122" s="12"/>
      <c r="D1122" s="13"/>
      <c r="E1122" s="78"/>
      <c r="F1122" s="15"/>
      <c r="G1122" s="26"/>
      <c r="H1122" s="12" t="b">
        <v>0</v>
      </c>
      <c r="I1122" s="28"/>
      <c r="J1122" s="12" t="b">
        <v>0</v>
      </c>
    </row>
    <row r="1123">
      <c r="A1123" s="12"/>
      <c r="B1123" s="12"/>
      <c r="C1123" s="12"/>
      <c r="D1123" s="13"/>
      <c r="E1123" s="78"/>
      <c r="F1123" s="15"/>
      <c r="G1123" s="26"/>
      <c r="H1123" s="12" t="b">
        <v>0</v>
      </c>
      <c r="I1123" s="28"/>
      <c r="J1123" s="12" t="b">
        <v>0</v>
      </c>
    </row>
    <row r="1124">
      <c r="A1124" s="12"/>
      <c r="B1124" s="12"/>
      <c r="C1124" s="12"/>
      <c r="D1124" s="13"/>
      <c r="E1124" s="78"/>
      <c r="F1124" s="15"/>
      <c r="G1124" s="26"/>
      <c r="H1124" s="12" t="b">
        <v>0</v>
      </c>
      <c r="I1124" s="28"/>
      <c r="J1124" s="12" t="b">
        <v>0</v>
      </c>
    </row>
    <row r="1125">
      <c r="A1125" s="12"/>
      <c r="B1125" s="12"/>
      <c r="C1125" s="12"/>
      <c r="D1125" s="13"/>
      <c r="E1125" s="78"/>
      <c r="F1125" s="15"/>
      <c r="G1125" s="26"/>
      <c r="H1125" s="12" t="b">
        <v>0</v>
      </c>
      <c r="I1125" s="28"/>
      <c r="J1125" s="12" t="b">
        <v>0</v>
      </c>
    </row>
    <row r="1126">
      <c r="A1126" s="12"/>
      <c r="B1126" s="12"/>
      <c r="C1126" s="12"/>
      <c r="D1126" s="13"/>
      <c r="E1126" s="78"/>
      <c r="F1126" s="15"/>
      <c r="G1126" s="26"/>
      <c r="H1126" s="12" t="b">
        <v>0</v>
      </c>
      <c r="I1126" s="28"/>
      <c r="J1126" s="12" t="b">
        <v>0</v>
      </c>
    </row>
    <row r="1127">
      <c r="A1127" s="12"/>
      <c r="B1127" s="12"/>
      <c r="C1127" s="12"/>
      <c r="D1127" s="13"/>
      <c r="E1127" s="78"/>
      <c r="F1127" s="15"/>
      <c r="G1127" s="26"/>
      <c r="H1127" s="12" t="b">
        <v>0</v>
      </c>
      <c r="I1127" s="28"/>
      <c r="J1127" s="12" t="b">
        <v>0</v>
      </c>
    </row>
    <row r="1128">
      <c r="A1128" s="12"/>
      <c r="B1128" s="12"/>
      <c r="C1128" s="12"/>
      <c r="D1128" s="13"/>
      <c r="E1128" s="78"/>
      <c r="F1128" s="15"/>
      <c r="G1128" s="26"/>
      <c r="H1128" s="12" t="b">
        <v>0</v>
      </c>
      <c r="I1128" s="28"/>
      <c r="J1128" s="12" t="b">
        <v>0</v>
      </c>
    </row>
    <row r="1129">
      <c r="A1129" s="12"/>
      <c r="B1129" s="12"/>
      <c r="C1129" s="12"/>
      <c r="D1129" s="13"/>
      <c r="E1129" s="78"/>
      <c r="F1129" s="15"/>
      <c r="G1129" s="26"/>
      <c r="H1129" s="12" t="b">
        <v>0</v>
      </c>
      <c r="I1129" s="28"/>
      <c r="J1129" s="12" t="b">
        <v>0</v>
      </c>
    </row>
    <row r="1130">
      <c r="A1130" s="12"/>
      <c r="B1130" s="12"/>
      <c r="C1130" s="12"/>
      <c r="D1130" s="13"/>
      <c r="E1130" s="78"/>
      <c r="F1130" s="15"/>
      <c r="G1130" s="26"/>
      <c r="H1130" s="12" t="b">
        <v>0</v>
      </c>
      <c r="I1130" s="28"/>
      <c r="J1130" s="12" t="b">
        <v>0</v>
      </c>
    </row>
    <row r="1131">
      <c r="A1131" s="12"/>
      <c r="B1131" s="12"/>
      <c r="C1131" s="12"/>
      <c r="D1131" s="13"/>
      <c r="E1131" s="78"/>
      <c r="F1131" s="15"/>
      <c r="G1131" s="26"/>
      <c r="H1131" s="12" t="b">
        <v>0</v>
      </c>
      <c r="I1131" s="28"/>
      <c r="J1131" s="12" t="b">
        <v>0</v>
      </c>
    </row>
    <row r="1132">
      <c r="A1132" s="12"/>
      <c r="B1132" s="12"/>
      <c r="C1132" s="12"/>
      <c r="D1132" s="13"/>
      <c r="E1132" s="78"/>
      <c r="F1132" s="15"/>
      <c r="G1132" s="26"/>
      <c r="H1132" s="12" t="b">
        <v>0</v>
      </c>
      <c r="I1132" s="28"/>
      <c r="J1132" s="12" t="b">
        <v>0</v>
      </c>
    </row>
    <row r="1133">
      <c r="A1133" s="12"/>
      <c r="B1133" s="12"/>
      <c r="C1133" s="12"/>
      <c r="D1133" s="13"/>
      <c r="E1133" s="78"/>
      <c r="F1133" s="15"/>
      <c r="G1133" s="26"/>
      <c r="H1133" s="12" t="b">
        <v>0</v>
      </c>
      <c r="I1133" s="28"/>
      <c r="J1133" s="12" t="b">
        <v>0</v>
      </c>
    </row>
    <row r="1134">
      <c r="A1134" s="12"/>
      <c r="B1134" s="12"/>
      <c r="C1134" s="12"/>
      <c r="D1134" s="13"/>
      <c r="E1134" s="78"/>
      <c r="F1134" s="15"/>
      <c r="G1134" s="26"/>
      <c r="H1134" s="12" t="b">
        <v>0</v>
      </c>
      <c r="I1134" s="28"/>
      <c r="J1134" s="12" t="b">
        <v>0</v>
      </c>
    </row>
    <row r="1135">
      <c r="A1135" s="12"/>
      <c r="B1135" s="12"/>
      <c r="C1135" s="12"/>
      <c r="D1135" s="13"/>
      <c r="E1135" s="78"/>
      <c r="F1135" s="15"/>
      <c r="G1135" s="26"/>
      <c r="H1135" s="12" t="b">
        <v>0</v>
      </c>
      <c r="I1135" s="28"/>
      <c r="J1135" s="12" t="b">
        <v>0</v>
      </c>
    </row>
    <row r="1136">
      <c r="A1136" s="12"/>
      <c r="B1136" s="12"/>
      <c r="C1136" s="12"/>
      <c r="D1136" s="13"/>
      <c r="E1136" s="78"/>
      <c r="F1136" s="15"/>
      <c r="G1136" s="26"/>
      <c r="H1136" s="12" t="b">
        <v>0</v>
      </c>
      <c r="I1136" s="28"/>
      <c r="J1136" s="12" t="b">
        <v>0</v>
      </c>
    </row>
    <row r="1137">
      <c r="A1137" s="12"/>
      <c r="B1137" s="12"/>
      <c r="C1137" s="12"/>
      <c r="D1137" s="13"/>
      <c r="E1137" s="78"/>
      <c r="F1137" s="15"/>
      <c r="G1137" s="26"/>
      <c r="H1137" s="12" t="b">
        <v>0</v>
      </c>
      <c r="I1137" s="28"/>
      <c r="J1137" s="12" t="b">
        <v>0</v>
      </c>
    </row>
    <row r="1138">
      <c r="A1138" s="12"/>
      <c r="B1138" s="12"/>
      <c r="C1138" s="12"/>
      <c r="D1138" s="13"/>
      <c r="E1138" s="78"/>
      <c r="F1138" s="15"/>
      <c r="G1138" s="26"/>
      <c r="H1138" s="12" t="b">
        <v>0</v>
      </c>
      <c r="I1138" s="28"/>
      <c r="J1138" s="12" t="b">
        <v>0</v>
      </c>
    </row>
    <row r="1139">
      <c r="A1139" s="12"/>
      <c r="B1139" s="12"/>
      <c r="C1139" s="12"/>
      <c r="D1139" s="13"/>
      <c r="E1139" s="78"/>
      <c r="F1139" s="15"/>
      <c r="G1139" s="26"/>
      <c r="H1139" s="12" t="b">
        <v>0</v>
      </c>
      <c r="I1139" s="28"/>
      <c r="J1139" s="12" t="b">
        <v>0</v>
      </c>
    </row>
    <row r="1140">
      <c r="A1140" s="12"/>
      <c r="B1140" s="12"/>
      <c r="C1140" s="12"/>
      <c r="D1140" s="13"/>
      <c r="E1140" s="78"/>
      <c r="F1140" s="15"/>
      <c r="G1140" s="26"/>
      <c r="H1140" s="12" t="b">
        <v>0</v>
      </c>
      <c r="I1140" s="28"/>
      <c r="J1140" s="12" t="b">
        <v>0</v>
      </c>
    </row>
    <row r="1141">
      <c r="A1141" s="12"/>
      <c r="B1141" s="12"/>
      <c r="C1141" s="12"/>
      <c r="D1141" s="13"/>
      <c r="E1141" s="78"/>
      <c r="F1141" s="15"/>
      <c r="G1141" s="26"/>
      <c r="H1141" s="12" t="b">
        <v>0</v>
      </c>
      <c r="I1141" s="28"/>
      <c r="J1141" s="12" t="b">
        <v>0</v>
      </c>
    </row>
    <row r="1142">
      <c r="A1142" s="12"/>
      <c r="B1142" s="12"/>
      <c r="C1142" s="12"/>
      <c r="D1142" s="13"/>
      <c r="E1142" s="78"/>
      <c r="F1142" s="15"/>
      <c r="G1142" s="26"/>
      <c r="H1142" s="12" t="b">
        <v>0</v>
      </c>
      <c r="I1142" s="28"/>
      <c r="J1142" s="12" t="b">
        <v>0</v>
      </c>
    </row>
    <row r="1143">
      <c r="A1143" s="12"/>
      <c r="B1143" s="12"/>
      <c r="C1143" s="12"/>
      <c r="D1143" s="13"/>
      <c r="E1143" s="78"/>
      <c r="F1143" s="15"/>
      <c r="G1143" s="26"/>
      <c r="H1143" s="12" t="b">
        <v>0</v>
      </c>
      <c r="I1143" s="28"/>
      <c r="J1143" s="12" t="b">
        <v>0</v>
      </c>
    </row>
    <row r="1144">
      <c r="A1144" s="12"/>
      <c r="B1144" s="12"/>
      <c r="C1144" s="12"/>
      <c r="D1144" s="13"/>
      <c r="E1144" s="78"/>
      <c r="F1144" s="15"/>
      <c r="G1144" s="26"/>
      <c r="H1144" s="12" t="b">
        <v>0</v>
      </c>
      <c r="I1144" s="28"/>
      <c r="J1144" s="12" t="b">
        <v>0</v>
      </c>
    </row>
    <row r="1145">
      <c r="A1145" s="12"/>
      <c r="B1145" s="12"/>
      <c r="C1145" s="12"/>
      <c r="D1145" s="13"/>
      <c r="E1145" s="78"/>
      <c r="F1145" s="15"/>
      <c r="G1145" s="26"/>
      <c r="H1145" s="12" t="b">
        <v>0</v>
      </c>
      <c r="I1145" s="28"/>
      <c r="J1145" s="12" t="b">
        <v>0</v>
      </c>
    </row>
    <row r="1146">
      <c r="A1146" s="12"/>
      <c r="B1146" s="12"/>
      <c r="C1146" s="12"/>
      <c r="D1146" s="13"/>
      <c r="E1146" s="78"/>
      <c r="F1146" s="15"/>
      <c r="G1146" s="26"/>
      <c r="H1146" s="12" t="b">
        <v>0</v>
      </c>
      <c r="I1146" s="28"/>
      <c r="J1146" s="12" t="b">
        <v>0</v>
      </c>
    </row>
    <row r="1147">
      <c r="A1147" s="12"/>
      <c r="B1147" s="12"/>
      <c r="C1147" s="12"/>
      <c r="D1147" s="13"/>
      <c r="E1147" s="78"/>
      <c r="F1147" s="15"/>
      <c r="G1147" s="26"/>
      <c r="H1147" s="12" t="b">
        <v>0</v>
      </c>
      <c r="I1147" s="28"/>
      <c r="J1147" s="12" t="b">
        <v>0</v>
      </c>
    </row>
    <row r="1148">
      <c r="A1148" s="12"/>
      <c r="B1148" s="12"/>
      <c r="C1148" s="12"/>
      <c r="D1148" s="13"/>
      <c r="E1148" s="78"/>
      <c r="F1148" s="15"/>
      <c r="G1148" s="26"/>
      <c r="H1148" s="12" t="b">
        <v>0</v>
      </c>
      <c r="I1148" s="28"/>
      <c r="J1148" s="12" t="b">
        <v>0</v>
      </c>
    </row>
    <row r="1149">
      <c r="A1149" s="12"/>
      <c r="B1149" s="12"/>
      <c r="C1149" s="12"/>
      <c r="D1149" s="13"/>
      <c r="E1149" s="78"/>
      <c r="F1149" s="15"/>
      <c r="G1149" s="26"/>
      <c r="H1149" s="12" t="b">
        <v>0</v>
      </c>
      <c r="I1149" s="28"/>
      <c r="J1149" s="12" t="b">
        <v>0</v>
      </c>
    </row>
    <row r="1150">
      <c r="A1150" s="12"/>
      <c r="B1150" s="12"/>
      <c r="C1150" s="12"/>
      <c r="D1150" s="13"/>
      <c r="E1150" s="78"/>
      <c r="F1150" s="15"/>
      <c r="G1150" s="26"/>
      <c r="H1150" s="12" t="b">
        <v>0</v>
      </c>
      <c r="I1150" s="28"/>
      <c r="J1150" s="12" t="b">
        <v>0</v>
      </c>
    </row>
    <row r="1151">
      <c r="A1151" s="12"/>
      <c r="B1151" s="12"/>
      <c r="C1151" s="12"/>
      <c r="D1151" s="13"/>
      <c r="E1151" s="78"/>
      <c r="F1151" s="15"/>
      <c r="G1151" s="26"/>
      <c r="H1151" s="12" t="b">
        <v>0</v>
      </c>
      <c r="I1151" s="28"/>
      <c r="J1151" s="12" t="b">
        <v>0</v>
      </c>
    </row>
    <row r="1152">
      <c r="A1152" s="12"/>
      <c r="B1152" s="12"/>
      <c r="C1152" s="12"/>
      <c r="D1152" s="13"/>
      <c r="E1152" s="78"/>
      <c r="F1152" s="15"/>
      <c r="G1152" s="26"/>
      <c r="H1152" s="12" t="b">
        <v>0</v>
      </c>
      <c r="I1152" s="28"/>
      <c r="J1152" s="12" t="b">
        <v>0</v>
      </c>
    </row>
    <row r="1153">
      <c r="A1153" s="12"/>
      <c r="B1153" s="12"/>
      <c r="C1153" s="12"/>
      <c r="D1153" s="13"/>
      <c r="E1153" s="78"/>
      <c r="F1153" s="15"/>
      <c r="G1153" s="26"/>
      <c r="H1153" s="12" t="b">
        <v>0</v>
      </c>
      <c r="I1153" s="28"/>
      <c r="J1153" s="12" t="b">
        <v>0</v>
      </c>
    </row>
    <row r="1154">
      <c r="A1154" s="12"/>
      <c r="B1154" s="12"/>
      <c r="C1154" s="12"/>
      <c r="D1154" s="13"/>
      <c r="E1154" s="78"/>
      <c r="F1154" s="15"/>
      <c r="G1154" s="26"/>
      <c r="H1154" s="12" t="b">
        <v>0</v>
      </c>
      <c r="I1154" s="28"/>
      <c r="J1154" s="12" t="b">
        <v>0</v>
      </c>
    </row>
    <row r="1155">
      <c r="A1155" s="12"/>
      <c r="B1155" s="12"/>
      <c r="C1155" s="12"/>
      <c r="D1155" s="13"/>
      <c r="E1155" s="78"/>
      <c r="F1155" s="15"/>
      <c r="G1155" s="26"/>
      <c r="H1155" s="12" t="b">
        <v>0</v>
      </c>
      <c r="I1155" s="28"/>
      <c r="J1155" s="12" t="b">
        <v>0</v>
      </c>
    </row>
    <row r="1156">
      <c r="A1156" s="12"/>
      <c r="B1156" s="12"/>
      <c r="C1156" s="12"/>
      <c r="D1156" s="13"/>
      <c r="E1156" s="78"/>
      <c r="F1156" s="15"/>
      <c r="G1156" s="26"/>
      <c r="H1156" s="12" t="b">
        <v>0</v>
      </c>
      <c r="I1156" s="28"/>
      <c r="J1156" s="12" t="b">
        <v>0</v>
      </c>
    </row>
    <row r="1157">
      <c r="A1157" s="12"/>
      <c r="B1157" s="12"/>
      <c r="C1157" s="12"/>
      <c r="D1157" s="13"/>
      <c r="E1157" s="78"/>
      <c r="F1157" s="15"/>
      <c r="G1157" s="26"/>
      <c r="H1157" s="12" t="b">
        <v>0</v>
      </c>
      <c r="I1157" s="28"/>
      <c r="J1157" s="12" t="b">
        <v>0</v>
      </c>
    </row>
    <row r="1158">
      <c r="A1158" s="12"/>
      <c r="B1158" s="12"/>
      <c r="C1158" s="12"/>
      <c r="D1158" s="13"/>
      <c r="E1158" s="78"/>
      <c r="F1158" s="15"/>
      <c r="G1158" s="26"/>
      <c r="H1158" s="12" t="b">
        <v>0</v>
      </c>
      <c r="I1158" s="28"/>
      <c r="J1158" s="12" t="b">
        <v>0</v>
      </c>
    </row>
    <row r="1159">
      <c r="A1159" s="12"/>
      <c r="B1159" s="12"/>
      <c r="C1159" s="12"/>
      <c r="D1159" s="13"/>
      <c r="E1159" s="78"/>
      <c r="F1159" s="15"/>
      <c r="G1159" s="26"/>
      <c r="H1159" s="12" t="b">
        <v>0</v>
      </c>
      <c r="I1159" s="28"/>
      <c r="J1159" s="12" t="b">
        <v>0</v>
      </c>
    </row>
    <row r="1160">
      <c r="A1160" s="12"/>
      <c r="B1160" s="12"/>
      <c r="C1160" s="12"/>
      <c r="D1160" s="13"/>
      <c r="E1160" s="78"/>
      <c r="F1160" s="15"/>
      <c r="G1160" s="26"/>
      <c r="H1160" s="12" t="b">
        <v>0</v>
      </c>
      <c r="I1160" s="28"/>
      <c r="J1160" s="12" t="b">
        <v>0</v>
      </c>
    </row>
    <row r="1161">
      <c r="A1161" s="12"/>
      <c r="B1161" s="12"/>
      <c r="C1161" s="12"/>
      <c r="D1161" s="13"/>
      <c r="E1161" s="78"/>
      <c r="F1161" s="15"/>
      <c r="G1161" s="26"/>
      <c r="H1161" s="12" t="b">
        <v>0</v>
      </c>
      <c r="I1161" s="28"/>
      <c r="J1161" s="12" t="b">
        <v>0</v>
      </c>
    </row>
    <row r="1162">
      <c r="A1162" s="12"/>
      <c r="B1162" s="12"/>
      <c r="C1162" s="12"/>
      <c r="D1162" s="13"/>
      <c r="E1162" s="78"/>
      <c r="F1162" s="15"/>
      <c r="G1162" s="26"/>
      <c r="H1162" s="12" t="b">
        <v>0</v>
      </c>
      <c r="I1162" s="28"/>
      <c r="J1162" s="12" t="b">
        <v>0</v>
      </c>
    </row>
    <row r="1163">
      <c r="A1163" s="12"/>
      <c r="B1163" s="12"/>
      <c r="C1163" s="12"/>
      <c r="D1163" s="13"/>
      <c r="E1163" s="78"/>
      <c r="F1163" s="15"/>
      <c r="G1163" s="26"/>
      <c r="H1163" s="12" t="b">
        <v>0</v>
      </c>
      <c r="I1163" s="28"/>
      <c r="J1163" s="12" t="b">
        <v>0</v>
      </c>
    </row>
    <row r="1164">
      <c r="A1164" s="12"/>
      <c r="B1164" s="12"/>
      <c r="C1164" s="12"/>
      <c r="D1164" s="13"/>
      <c r="E1164" s="78"/>
      <c r="F1164" s="15"/>
      <c r="G1164" s="26"/>
      <c r="H1164" s="12" t="b">
        <v>0</v>
      </c>
      <c r="I1164" s="28"/>
      <c r="J1164" s="12" t="b">
        <v>0</v>
      </c>
    </row>
    <row r="1165">
      <c r="A1165" s="12"/>
      <c r="B1165" s="12"/>
      <c r="C1165" s="12"/>
      <c r="D1165" s="13"/>
      <c r="E1165" s="78"/>
      <c r="F1165" s="15"/>
      <c r="G1165" s="26"/>
      <c r="H1165" s="12" t="b">
        <v>0</v>
      </c>
      <c r="I1165" s="28"/>
      <c r="J1165" s="12" t="b">
        <v>0</v>
      </c>
    </row>
    <row r="1166">
      <c r="A1166" s="12"/>
      <c r="B1166" s="12"/>
      <c r="C1166" s="12"/>
      <c r="D1166" s="13"/>
      <c r="E1166" s="78"/>
      <c r="F1166" s="15"/>
      <c r="G1166" s="26"/>
      <c r="H1166" s="12" t="b">
        <v>0</v>
      </c>
      <c r="I1166" s="28"/>
      <c r="J1166" s="12" t="b">
        <v>0</v>
      </c>
    </row>
    <row r="1167">
      <c r="A1167" s="12"/>
      <c r="B1167" s="12"/>
      <c r="C1167" s="12"/>
      <c r="D1167" s="13"/>
      <c r="E1167" s="78"/>
      <c r="F1167" s="15"/>
      <c r="G1167" s="26"/>
      <c r="H1167" s="12" t="b">
        <v>0</v>
      </c>
      <c r="I1167" s="28"/>
      <c r="J1167" s="12" t="b">
        <v>0</v>
      </c>
    </row>
    <row r="1168">
      <c r="A1168" s="12"/>
      <c r="B1168" s="12"/>
      <c r="C1168" s="12"/>
      <c r="D1168" s="13"/>
      <c r="E1168" s="78"/>
      <c r="F1168" s="15"/>
      <c r="G1168" s="26"/>
      <c r="H1168" s="12" t="b">
        <v>0</v>
      </c>
      <c r="I1168" s="28"/>
      <c r="J1168" s="12" t="b">
        <v>0</v>
      </c>
    </row>
    <row r="1169">
      <c r="A1169" s="12"/>
      <c r="B1169" s="12"/>
      <c r="C1169" s="12"/>
      <c r="D1169" s="13"/>
      <c r="E1169" s="78"/>
      <c r="F1169" s="15"/>
      <c r="G1169" s="26"/>
      <c r="H1169" s="12" t="b">
        <v>0</v>
      </c>
      <c r="I1169" s="28"/>
      <c r="J1169" s="12" t="b">
        <v>0</v>
      </c>
    </row>
    <row r="1170">
      <c r="A1170" s="12"/>
      <c r="B1170" s="12"/>
      <c r="C1170" s="12"/>
      <c r="D1170" s="13"/>
      <c r="E1170" s="78"/>
      <c r="F1170" s="15"/>
      <c r="G1170" s="26"/>
      <c r="H1170" s="12" t="b">
        <v>0</v>
      </c>
      <c r="I1170" s="28"/>
      <c r="J1170" s="12" t="b">
        <v>0</v>
      </c>
    </row>
    <row r="1171">
      <c r="A1171" s="12"/>
      <c r="B1171" s="12"/>
      <c r="C1171" s="12"/>
      <c r="D1171" s="13"/>
      <c r="E1171" s="78"/>
      <c r="F1171" s="15"/>
      <c r="G1171" s="26"/>
      <c r="H1171" s="12" t="b">
        <v>0</v>
      </c>
      <c r="I1171" s="28"/>
      <c r="J1171" s="12" t="b">
        <v>0</v>
      </c>
    </row>
    <row r="1172">
      <c r="A1172" s="12"/>
      <c r="B1172" s="12"/>
      <c r="C1172" s="12"/>
      <c r="D1172" s="13"/>
      <c r="E1172" s="78"/>
      <c r="F1172" s="15"/>
      <c r="G1172" s="26"/>
      <c r="H1172" s="12" t="b">
        <v>0</v>
      </c>
      <c r="I1172" s="28"/>
      <c r="J1172" s="12" t="b">
        <v>0</v>
      </c>
    </row>
    <row r="1173">
      <c r="A1173" s="12"/>
      <c r="B1173" s="12"/>
      <c r="C1173" s="12"/>
      <c r="D1173" s="13"/>
      <c r="E1173" s="78"/>
      <c r="F1173" s="15"/>
      <c r="G1173" s="26"/>
      <c r="H1173" s="12" t="b">
        <v>0</v>
      </c>
      <c r="I1173" s="28"/>
      <c r="J1173" s="12" t="b">
        <v>0</v>
      </c>
    </row>
    <row r="1174">
      <c r="A1174" s="12"/>
      <c r="B1174" s="12"/>
      <c r="C1174" s="12"/>
      <c r="D1174" s="13"/>
      <c r="E1174" s="78"/>
      <c r="F1174" s="15"/>
      <c r="G1174" s="26"/>
      <c r="H1174" s="12" t="b">
        <v>0</v>
      </c>
      <c r="I1174" s="28"/>
      <c r="J1174" s="12" t="b">
        <v>0</v>
      </c>
    </row>
    <row r="1175">
      <c r="A1175" s="12"/>
      <c r="B1175" s="12"/>
      <c r="C1175" s="12"/>
      <c r="D1175" s="13"/>
      <c r="E1175" s="78"/>
      <c r="F1175" s="15"/>
      <c r="G1175" s="26"/>
      <c r="H1175" s="12" t="b">
        <v>0</v>
      </c>
      <c r="I1175" s="28"/>
      <c r="J1175" s="12" t="b">
        <v>0</v>
      </c>
    </row>
    <row r="1176">
      <c r="A1176" s="12"/>
      <c r="B1176" s="12"/>
      <c r="C1176" s="12"/>
      <c r="D1176" s="13"/>
      <c r="E1176" s="78"/>
      <c r="F1176" s="15"/>
      <c r="G1176" s="26"/>
      <c r="H1176" s="12" t="b">
        <v>0</v>
      </c>
      <c r="I1176" s="28"/>
      <c r="J1176" s="12" t="b">
        <v>0</v>
      </c>
    </row>
    <row r="1177">
      <c r="A1177" s="12"/>
      <c r="B1177" s="12"/>
      <c r="C1177" s="12"/>
      <c r="D1177" s="13"/>
      <c r="E1177" s="78"/>
      <c r="F1177" s="15"/>
      <c r="G1177" s="26"/>
      <c r="H1177" s="12" t="b">
        <v>0</v>
      </c>
      <c r="I1177" s="28"/>
      <c r="J1177" s="12" t="b">
        <v>0</v>
      </c>
    </row>
    <row r="1178">
      <c r="A1178" s="12"/>
      <c r="B1178" s="12"/>
      <c r="C1178" s="12"/>
      <c r="D1178" s="13"/>
      <c r="E1178" s="78"/>
      <c r="F1178" s="15"/>
      <c r="G1178" s="26"/>
      <c r="H1178" s="12" t="b">
        <v>0</v>
      </c>
      <c r="I1178" s="28"/>
      <c r="J1178" s="12" t="b">
        <v>0</v>
      </c>
    </row>
    <row r="1179">
      <c r="A1179" s="12"/>
      <c r="B1179" s="12"/>
      <c r="C1179" s="12"/>
      <c r="D1179" s="13"/>
      <c r="E1179" s="78"/>
      <c r="F1179" s="15"/>
      <c r="G1179" s="26"/>
      <c r="H1179" s="12" t="b">
        <v>0</v>
      </c>
      <c r="I1179" s="28"/>
      <c r="J1179" s="12" t="b">
        <v>0</v>
      </c>
    </row>
    <row r="1180">
      <c r="A1180" s="12"/>
      <c r="B1180" s="12"/>
      <c r="C1180" s="12"/>
      <c r="D1180" s="13"/>
      <c r="E1180" s="78"/>
      <c r="F1180" s="15"/>
      <c r="G1180" s="26"/>
      <c r="H1180" s="12" t="b">
        <v>0</v>
      </c>
      <c r="I1180" s="28"/>
      <c r="J1180" s="12" t="b">
        <v>0</v>
      </c>
    </row>
    <row r="1181">
      <c r="A1181" s="12"/>
      <c r="B1181" s="12"/>
      <c r="C1181" s="12"/>
      <c r="D1181" s="13"/>
      <c r="E1181" s="78"/>
      <c r="F1181" s="15"/>
      <c r="G1181" s="26"/>
      <c r="H1181" s="12" t="b">
        <v>0</v>
      </c>
      <c r="I1181" s="28"/>
      <c r="J1181" s="12" t="b">
        <v>0</v>
      </c>
    </row>
    <row r="1182">
      <c r="A1182" s="12"/>
      <c r="B1182" s="12"/>
      <c r="C1182" s="12"/>
      <c r="D1182" s="13"/>
      <c r="E1182" s="78"/>
      <c r="F1182" s="15"/>
      <c r="G1182" s="26"/>
      <c r="H1182" s="12" t="b">
        <v>0</v>
      </c>
      <c r="I1182" s="28"/>
      <c r="J1182" s="12" t="b">
        <v>0</v>
      </c>
    </row>
    <row r="1183">
      <c r="A1183" s="12"/>
      <c r="B1183" s="12"/>
      <c r="C1183" s="12"/>
      <c r="D1183" s="13"/>
      <c r="E1183" s="78"/>
      <c r="F1183" s="15"/>
      <c r="G1183" s="26"/>
      <c r="H1183" s="12" t="b">
        <v>0</v>
      </c>
      <c r="I1183" s="28"/>
      <c r="J1183" s="12" t="b">
        <v>0</v>
      </c>
    </row>
    <row r="1184">
      <c r="A1184" s="12"/>
      <c r="B1184" s="12"/>
      <c r="C1184" s="12"/>
      <c r="D1184" s="13"/>
      <c r="E1184" s="78"/>
      <c r="F1184" s="15"/>
      <c r="G1184" s="26"/>
      <c r="H1184" s="12" t="b">
        <v>0</v>
      </c>
      <c r="I1184" s="28"/>
      <c r="J1184" s="12" t="b">
        <v>0</v>
      </c>
    </row>
    <row r="1185">
      <c r="A1185" s="12"/>
      <c r="B1185" s="12"/>
      <c r="C1185" s="12"/>
      <c r="D1185" s="13"/>
      <c r="E1185" s="78"/>
      <c r="F1185" s="15"/>
      <c r="G1185" s="26"/>
      <c r="H1185" s="12" t="b">
        <v>0</v>
      </c>
      <c r="I1185" s="28"/>
      <c r="J1185" s="12" t="b">
        <v>0</v>
      </c>
    </row>
    <row r="1186">
      <c r="A1186" s="12"/>
      <c r="B1186" s="12"/>
      <c r="C1186" s="12"/>
      <c r="D1186" s="13"/>
      <c r="E1186" s="78"/>
      <c r="F1186" s="15"/>
      <c r="G1186" s="26"/>
      <c r="H1186" s="12" t="b">
        <v>0</v>
      </c>
      <c r="I1186" s="28"/>
      <c r="J1186" s="12" t="b">
        <v>0</v>
      </c>
    </row>
    <row r="1187">
      <c r="A1187" s="12"/>
      <c r="B1187" s="12"/>
      <c r="C1187" s="12"/>
      <c r="D1187" s="13"/>
      <c r="E1187" s="78"/>
      <c r="F1187" s="15"/>
      <c r="G1187" s="26"/>
      <c r="H1187" s="12" t="b">
        <v>0</v>
      </c>
      <c r="I1187" s="28"/>
      <c r="J1187" s="12" t="b">
        <v>0</v>
      </c>
    </row>
    <row r="1188">
      <c r="A1188" s="12"/>
      <c r="B1188" s="12"/>
      <c r="C1188" s="12"/>
      <c r="D1188" s="13"/>
      <c r="E1188" s="78"/>
      <c r="F1188" s="15"/>
      <c r="G1188" s="26"/>
      <c r="H1188" s="12" t="b">
        <v>0</v>
      </c>
      <c r="I1188" s="28"/>
      <c r="J1188" s="12" t="b">
        <v>0</v>
      </c>
    </row>
    <row r="1189">
      <c r="A1189" s="12"/>
      <c r="B1189" s="12"/>
      <c r="C1189" s="12"/>
      <c r="D1189" s="13"/>
      <c r="E1189" s="78"/>
      <c r="F1189" s="15"/>
      <c r="G1189" s="26"/>
      <c r="H1189" s="12" t="b">
        <v>0</v>
      </c>
      <c r="I1189" s="28"/>
      <c r="J1189" s="12" t="b">
        <v>0</v>
      </c>
    </row>
    <row r="1190">
      <c r="A1190" s="12"/>
      <c r="B1190" s="12"/>
      <c r="C1190" s="12"/>
      <c r="D1190" s="13"/>
      <c r="E1190" s="78"/>
      <c r="F1190" s="15"/>
      <c r="G1190" s="26"/>
      <c r="H1190" s="12" t="b">
        <v>0</v>
      </c>
      <c r="I1190" s="28"/>
      <c r="J1190" s="12" t="b">
        <v>0</v>
      </c>
    </row>
    <row r="1191">
      <c r="A1191" s="12"/>
      <c r="B1191" s="12"/>
      <c r="C1191" s="12"/>
      <c r="D1191" s="13"/>
      <c r="E1191" s="78"/>
      <c r="F1191" s="15"/>
      <c r="G1191" s="26"/>
      <c r="H1191" s="12" t="b">
        <v>0</v>
      </c>
      <c r="I1191" s="28"/>
      <c r="J1191" s="12" t="b">
        <v>0</v>
      </c>
    </row>
    <row r="1192">
      <c r="A1192" s="12"/>
      <c r="B1192" s="12"/>
      <c r="C1192" s="12"/>
      <c r="D1192" s="13"/>
      <c r="E1192" s="78"/>
      <c r="F1192" s="15"/>
      <c r="G1192" s="26"/>
      <c r="H1192" s="12" t="b">
        <v>0</v>
      </c>
      <c r="I1192" s="28"/>
      <c r="J1192" s="12" t="b">
        <v>0</v>
      </c>
    </row>
    <row r="1193">
      <c r="A1193" s="12"/>
      <c r="B1193" s="12"/>
      <c r="C1193" s="12"/>
      <c r="D1193" s="13"/>
      <c r="E1193" s="78"/>
      <c r="F1193" s="15"/>
      <c r="G1193" s="26"/>
      <c r="H1193" s="12" t="b">
        <v>0</v>
      </c>
      <c r="I1193" s="28"/>
      <c r="J1193" s="12" t="b">
        <v>0</v>
      </c>
    </row>
    <row r="1194">
      <c r="A1194" s="12"/>
      <c r="B1194" s="12"/>
      <c r="C1194" s="12"/>
      <c r="D1194" s="13"/>
      <c r="E1194" s="78"/>
      <c r="F1194" s="15"/>
      <c r="G1194" s="26"/>
      <c r="H1194" s="12" t="b">
        <v>0</v>
      </c>
      <c r="I1194" s="28"/>
      <c r="J1194" s="12" t="b">
        <v>0</v>
      </c>
    </row>
    <row r="1195">
      <c r="A1195" s="12"/>
      <c r="B1195" s="12"/>
      <c r="C1195" s="12"/>
      <c r="D1195" s="13"/>
      <c r="E1195" s="78"/>
      <c r="F1195" s="15"/>
      <c r="G1195" s="26"/>
      <c r="H1195" s="12" t="b">
        <v>0</v>
      </c>
      <c r="I1195" s="28"/>
      <c r="J1195" s="12" t="b">
        <v>0</v>
      </c>
    </row>
    <row r="1196">
      <c r="A1196" s="12"/>
      <c r="B1196" s="12"/>
      <c r="C1196" s="12"/>
      <c r="D1196" s="13"/>
      <c r="E1196" s="78"/>
      <c r="F1196" s="15"/>
      <c r="G1196" s="26"/>
      <c r="H1196" s="12" t="b">
        <v>0</v>
      </c>
      <c r="I1196" s="28"/>
      <c r="J1196" s="12" t="b">
        <v>0</v>
      </c>
    </row>
    <row r="1197">
      <c r="A1197" s="12"/>
      <c r="B1197" s="12"/>
      <c r="C1197" s="12"/>
      <c r="D1197" s="13"/>
      <c r="E1197" s="78"/>
      <c r="F1197" s="15"/>
      <c r="G1197" s="26"/>
      <c r="H1197" s="12" t="b">
        <v>0</v>
      </c>
      <c r="I1197" s="28"/>
      <c r="J1197" s="12" t="b">
        <v>0</v>
      </c>
    </row>
    <row r="1198">
      <c r="A1198" s="12"/>
      <c r="B1198" s="12"/>
      <c r="C1198" s="12"/>
      <c r="D1198" s="13"/>
      <c r="E1198" s="78"/>
      <c r="F1198" s="15"/>
      <c r="G1198" s="26"/>
      <c r="H1198" s="12" t="b">
        <v>0</v>
      </c>
      <c r="I1198" s="28"/>
      <c r="J1198" s="12" t="b">
        <v>0</v>
      </c>
    </row>
    <row r="1199">
      <c r="A1199" s="12"/>
      <c r="B1199" s="12"/>
      <c r="C1199" s="12"/>
      <c r="D1199" s="13"/>
      <c r="E1199" s="78"/>
      <c r="F1199" s="15"/>
      <c r="G1199" s="26"/>
      <c r="H1199" s="12" t="b">
        <v>0</v>
      </c>
      <c r="I1199" s="28"/>
      <c r="J1199" s="12" t="b">
        <v>0</v>
      </c>
    </row>
    <row r="1200">
      <c r="A1200" s="12"/>
      <c r="B1200" s="12"/>
      <c r="C1200" s="12"/>
      <c r="D1200" s="13"/>
      <c r="E1200" s="78"/>
      <c r="F1200" s="15"/>
      <c r="G1200" s="26"/>
      <c r="H1200" s="12" t="b">
        <v>0</v>
      </c>
      <c r="I1200" s="28"/>
      <c r="J1200" s="12" t="b">
        <v>0</v>
      </c>
    </row>
    <row r="1201">
      <c r="A1201" s="12"/>
      <c r="B1201" s="12"/>
      <c r="C1201" s="12"/>
      <c r="D1201" s="13"/>
      <c r="E1201" s="78"/>
      <c r="F1201" s="15"/>
      <c r="G1201" s="26"/>
      <c r="H1201" s="12" t="b">
        <v>0</v>
      </c>
      <c r="I1201" s="28"/>
      <c r="J1201" s="12" t="b">
        <v>0</v>
      </c>
    </row>
    <row r="1202">
      <c r="A1202" s="12"/>
      <c r="B1202" s="12"/>
      <c r="C1202" s="12"/>
      <c r="D1202" s="13"/>
      <c r="E1202" s="78"/>
      <c r="F1202" s="15"/>
      <c r="G1202" s="26"/>
      <c r="H1202" s="12" t="b">
        <v>0</v>
      </c>
      <c r="I1202" s="28"/>
      <c r="J1202" s="12" t="b">
        <v>0</v>
      </c>
    </row>
    <row r="1203">
      <c r="A1203" s="12"/>
      <c r="B1203" s="12"/>
      <c r="C1203" s="12"/>
      <c r="D1203" s="13"/>
      <c r="E1203" s="78"/>
      <c r="F1203" s="15"/>
      <c r="G1203" s="26"/>
      <c r="H1203" s="12" t="b">
        <v>0</v>
      </c>
      <c r="I1203" s="28"/>
      <c r="J1203" s="12" t="b">
        <v>0</v>
      </c>
    </row>
    <row r="1204">
      <c r="A1204" s="12"/>
      <c r="B1204" s="12"/>
      <c r="C1204" s="12"/>
      <c r="D1204" s="13"/>
      <c r="E1204" s="78"/>
      <c r="F1204" s="15"/>
      <c r="G1204" s="26"/>
      <c r="H1204" s="12" t="b">
        <v>0</v>
      </c>
      <c r="I1204" s="28"/>
      <c r="J1204" s="12" t="b">
        <v>0</v>
      </c>
    </row>
    <row r="1205">
      <c r="A1205" s="12"/>
      <c r="B1205" s="12"/>
      <c r="C1205" s="12"/>
      <c r="D1205" s="13"/>
      <c r="E1205" s="78"/>
      <c r="F1205" s="15"/>
      <c r="G1205" s="26"/>
      <c r="H1205" s="12" t="b">
        <v>0</v>
      </c>
      <c r="I1205" s="28"/>
      <c r="J1205" s="12" t="b">
        <v>0</v>
      </c>
    </row>
    <row r="1206">
      <c r="A1206" s="12"/>
      <c r="B1206" s="12"/>
      <c r="C1206" s="12"/>
      <c r="D1206" s="13"/>
      <c r="E1206" s="78"/>
      <c r="F1206" s="15"/>
      <c r="G1206" s="26"/>
      <c r="H1206" s="12" t="b">
        <v>0</v>
      </c>
      <c r="I1206" s="28"/>
      <c r="J1206" s="12" t="b">
        <v>0</v>
      </c>
    </row>
    <row r="1207">
      <c r="A1207" s="12"/>
      <c r="B1207" s="12"/>
      <c r="C1207" s="12"/>
      <c r="D1207" s="13"/>
      <c r="E1207" s="78"/>
      <c r="F1207" s="15"/>
      <c r="G1207" s="26"/>
      <c r="H1207" s="12" t="b">
        <v>0</v>
      </c>
      <c r="I1207" s="28"/>
      <c r="J1207" s="12" t="b">
        <v>0</v>
      </c>
    </row>
    <row r="1208">
      <c r="A1208" s="12"/>
      <c r="B1208" s="12"/>
      <c r="C1208" s="12"/>
      <c r="D1208" s="13"/>
      <c r="E1208" s="78"/>
      <c r="F1208" s="15"/>
      <c r="G1208" s="26"/>
      <c r="H1208" s="12" t="b">
        <v>0</v>
      </c>
      <c r="I1208" s="28"/>
      <c r="J1208" s="12" t="b">
        <v>0</v>
      </c>
    </row>
    <row r="1209">
      <c r="A1209" s="12"/>
      <c r="B1209" s="12"/>
      <c r="C1209" s="12"/>
      <c r="D1209" s="13"/>
      <c r="E1209" s="78"/>
      <c r="F1209" s="15"/>
      <c r="G1209" s="26"/>
      <c r="H1209" s="12" t="b">
        <v>0</v>
      </c>
      <c r="I1209" s="28"/>
      <c r="J1209" s="12" t="b">
        <v>0</v>
      </c>
    </row>
    <row r="1210">
      <c r="A1210" s="12"/>
      <c r="B1210" s="12"/>
      <c r="C1210" s="12"/>
      <c r="D1210" s="13"/>
      <c r="E1210" s="78"/>
      <c r="F1210" s="15"/>
      <c r="G1210" s="26"/>
      <c r="H1210" s="12" t="b">
        <v>0</v>
      </c>
      <c r="I1210" s="28"/>
      <c r="J1210" s="12" t="b">
        <v>0</v>
      </c>
    </row>
    <row r="1211">
      <c r="A1211" s="12"/>
      <c r="B1211" s="12"/>
      <c r="C1211" s="12"/>
      <c r="D1211" s="13"/>
      <c r="E1211" s="78"/>
      <c r="F1211" s="15"/>
      <c r="G1211" s="26"/>
      <c r="H1211" s="12" t="b">
        <v>0</v>
      </c>
      <c r="I1211" s="28"/>
      <c r="J1211" s="12" t="b">
        <v>0</v>
      </c>
    </row>
    <row r="1212">
      <c r="A1212" s="12"/>
      <c r="B1212" s="12"/>
      <c r="C1212" s="12"/>
      <c r="D1212" s="13"/>
      <c r="E1212" s="78"/>
      <c r="F1212" s="15"/>
      <c r="G1212" s="26"/>
      <c r="H1212" s="12" t="b">
        <v>0</v>
      </c>
      <c r="I1212" s="28"/>
      <c r="J1212" s="12" t="b">
        <v>0</v>
      </c>
    </row>
    <row r="1213">
      <c r="A1213" s="12"/>
      <c r="B1213" s="12"/>
      <c r="C1213" s="12"/>
      <c r="D1213" s="13"/>
      <c r="E1213" s="78"/>
      <c r="F1213" s="15"/>
      <c r="G1213" s="26"/>
      <c r="H1213" s="12" t="b">
        <v>0</v>
      </c>
      <c r="I1213" s="28"/>
      <c r="J1213" s="12" t="b">
        <v>0</v>
      </c>
    </row>
    <row r="1214">
      <c r="A1214" s="12"/>
      <c r="B1214" s="12"/>
      <c r="C1214" s="12"/>
      <c r="D1214" s="13"/>
      <c r="E1214" s="78"/>
      <c r="F1214" s="15"/>
      <c r="G1214" s="26"/>
      <c r="H1214" s="12" t="b">
        <v>0</v>
      </c>
      <c r="I1214" s="28"/>
      <c r="J1214" s="12" t="b">
        <v>0</v>
      </c>
    </row>
    <row r="1215">
      <c r="A1215" s="12"/>
      <c r="B1215" s="12"/>
      <c r="C1215" s="12"/>
      <c r="D1215" s="13"/>
      <c r="E1215" s="78"/>
      <c r="F1215" s="15"/>
      <c r="G1215" s="26"/>
      <c r="H1215" s="12" t="b">
        <v>0</v>
      </c>
      <c r="I1215" s="28"/>
      <c r="J1215" s="12" t="b">
        <v>0</v>
      </c>
    </row>
    <row r="1216">
      <c r="A1216" s="12"/>
      <c r="B1216" s="12"/>
      <c r="C1216" s="12"/>
      <c r="D1216" s="13"/>
      <c r="E1216" s="78"/>
      <c r="F1216" s="15"/>
      <c r="G1216" s="26"/>
      <c r="H1216" s="12" t="b">
        <v>0</v>
      </c>
      <c r="I1216" s="28"/>
      <c r="J1216" s="12" t="b">
        <v>0</v>
      </c>
    </row>
    <row r="1217">
      <c r="A1217" s="12"/>
      <c r="B1217" s="12"/>
      <c r="C1217" s="12"/>
      <c r="D1217" s="13"/>
      <c r="E1217" s="78"/>
      <c r="F1217" s="15"/>
      <c r="G1217" s="26"/>
      <c r="H1217" s="12" t="b">
        <v>0</v>
      </c>
      <c r="I1217" s="28"/>
      <c r="J1217" s="12" t="b">
        <v>0</v>
      </c>
    </row>
    <row r="1218">
      <c r="A1218" s="12"/>
      <c r="B1218" s="12"/>
      <c r="C1218" s="12"/>
      <c r="D1218" s="13"/>
      <c r="E1218" s="78"/>
      <c r="F1218" s="15"/>
      <c r="G1218" s="26"/>
      <c r="H1218" s="12" t="b">
        <v>0</v>
      </c>
      <c r="I1218" s="28"/>
      <c r="J1218" s="12" t="b">
        <v>0</v>
      </c>
    </row>
    <row r="1219">
      <c r="A1219" s="12"/>
      <c r="B1219" s="12"/>
      <c r="C1219" s="12"/>
      <c r="D1219" s="13"/>
      <c r="E1219" s="78"/>
      <c r="F1219" s="15"/>
      <c r="G1219" s="26"/>
      <c r="H1219" s="12" t="b">
        <v>0</v>
      </c>
      <c r="I1219" s="28"/>
      <c r="J1219" s="12" t="b">
        <v>0</v>
      </c>
    </row>
    <row r="1220">
      <c r="A1220" s="12"/>
      <c r="B1220" s="12"/>
      <c r="C1220" s="12"/>
      <c r="D1220" s="13"/>
      <c r="E1220" s="78"/>
      <c r="F1220" s="15"/>
      <c r="G1220" s="26"/>
      <c r="H1220" s="12" t="b">
        <v>0</v>
      </c>
      <c r="I1220" s="28"/>
      <c r="J1220" s="12" t="b">
        <v>0</v>
      </c>
    </row>
    <row r="1221">
      <c r="A1221" s="12"/>
      <c r="B1221" s="12"/>
      <c r="C1221" s="12"/>
      <c r="D1221" s="13"/>
      <c r="E1221" s="78"/>
      <c r="F1221" s="15"/>
      <c r="G1221" s="26"/>
      <c r="H1221" s="12" t="b">
        <v>0</v>
      </c>
      <c r="I1221" s="28"/>
      <c r="J1221" s="12" t="b">
        <v>0</v>
      </c>
    </row>
    <row r="1222">
      <c r="A1222" s="12"/>
      <c r="B1222" s="12"/>
      <c r="C1222" s="12"/>
      <c r="D1222" s="13"/>
      <c r="E1222" s="78"/>
      <c r="F1222" s="15"/>
      <c r="G1222" s="26"/>
      <c r="H1222" s="12" t="b">
        <v>0</v>
      </c>
      <c r="I1222" s="28"/>
      <c r="J1222" s="12" t="b">
        <v>0</v>
      </c>
    </row>
    <row r="1223">
      <c r="A1223" s="12"/>
      <c r="B1223" s="12"/>
      <c r="C1223" s="12"/>
      <c r="D1223" s="13"/>
      <c r="E1223" s="78"/>
      <c r="F1223" s="15"/>
      <c r="G1223" s="26"/>
      <c r="H1223" s="12" t="b">
        <v>0</v>
      </c>
      <c r="I1223" s="28"/>
      <c r="J1223" s="12" t="b">
        <v>0</v>
      </c>
    </row>
    <row r="1224">
      <c r="A1224" s="12"/>
      <c r="B1224" s="12"/>
      <c r="C1224" s="12"/>
      <c r="D1224" s="13"/>
      <c r="E1224" s="78"/>
      <c r="F1224" s="15"/>
      <c r="G1224" s="26"/>
      <c r="H1224" s="12" t="b">
        <v>0</v>
      </c>
      <c r="I1224" s="28"/>
      <c r="J1224" s="12" t="b">
        <v>0</v>
      </c>
    </row>
    <row r="1225">
      <c r="A1225" s="12"/>
      <c r="B1225" s="12"/>
      <c r="C1225" s="12"/>
      <c r="D1225" s="13"/>
      <c r="E1225" s="78"/>
      <c r="F1225" s="15"/>
      <c r="G1225" s="26"/>
      <c r="H1225" s="12" t="b">
        <v>0</v>
      </c>
      <c r="I1225" s="28"/>
      <c r="J1225" s="12" t="b">
        <v>0</v>
      </c>
    </row>
    <row r="1226">
      <c r="A1226" s="12"/>
      <c r="B1226" s="12"/>
      <c r="C1226" s="12"/>
      <c r="D1226" s="13"/>
      <c r="E1226" s="78"/>
      <c r="F1226" s="15"/>
      <c r="G1226" s="26"/>
      <c r="H1226" s="12" t="b">
        <v>0</v>
      </c>
      <c r="I1226" s="28"/>
      <c r="J1226" s="12" t="b">
        <v>0</v>
      </c>
    </row>
    <row r="1227">
      <c r="A1227" s="12"/>
      <c r="B1227" s="12"/>
      <c r="C1227" s="12"/>
      <c r="D1227" s="13"/>
      <c r="E1227" s="78"/>
      <c r="F1227" s="15"/>
      <c r="G1227" s="26"/>
      <c r="H1227" s="12" t="b">
        <v>0</v>
      </c>
      <c r="I1227" s="28"/>
      <c r="J1227" s="12" t="b">
        <v>0</v>
      </c>
    </row>
    <row r="1228">
      <c r="A1228" s="12"/>
      <c r="B1228" s="12"/>
      <c r="C1228" s="12"/>
      <c r="D1228" s="13"/>
      <c r="E1228" s="78"/>
      <c r="F1228" s="15"/>
      <c r="G1228" s="26"/>
      <c r="H1228" s="12" t="b">
        <v>0</v>
      </c>
      <c r="I1228" s="28"/>
      <c r="J1228" s="12" t="b">
        <v>0</v>
      </c>
    </row>
    <row r="1229">
      <c r="A1229" s="12"/>
      <c r="B1229" s="12"/>
      <c r="C1229" s="12"/>
      <c r="D1229" s="13"/>
      <c r="E1229" s="78"/>
      <c r="F1229" s="15"/>
      <c r="G1229" s="26"/>
      <c r="H1229" s="12" t="b">
        <v>0</v>
      </c>
      <c r="I1229" s="28"/>
      <c r="J1229" s="12" t="b">
        <v>0</v>
      </c>
    </row>
    <row r="1230">
      <c r="A1230" s="12"/>
      <c r="B1230" s="12"/>
      <c r="C1230" s="12"/>
      <c r="D1230" s="13"/>
      <c r="E1230" s="78"/>
      <c r="F1230" s="15"/>
      <c r="G1230" s="26"/>
      <c r="H1230" s="12" t="b">
        <v>0</v>
      </c>
      <c r="I1230" s="28"/>
      <c r="J1230" s="12" t="b">
        <v>0</v>
      </c>
    </row>
    <row r="1231">
      <c r="A1231" s="12"/>
      <c r="B1231" s="12"/>
      <c r="C1231" s="12"/>
      <c r="D1231" s="13"/>
      <c r="E1231" s="78"/>
      <c r="F1231" s="15"/>
      <c r="G1231" s="26"/>
      <c r="H1231" s="12" t="b">
        <v>0</v>
      </c>
      <c r="I1231" s="28"/>
      <c r="J1231" s="12" t="b">
        <v>0</v>
      </c>
    </row>
    <row r="1232">
      <c r="A1232" s="12"/>
      <c r="B1232" s="12"/>
      <c r="C1232" s="12"/>
      <c r="D1232" s="13"/>
      <c r="E1232" s="78"/>
      <c r="F1232" s="15"/>
      <c r="G1232" s="26"/>
      <c r="H1232" s="12" t="b">
        <v>0</v>
      </c>
      <c r="I1232" s="28"/>
      <c r="J1232" s="12" t="b">
        <v>0</v>
      </c>
    </row>
    <row r="1233">
      <c r="A1233" s="12"/>
      <c r="B1233" s="12"/>
      <c r="C1233" s="12"/>
      <c r="D1233" s="13"/>
      <c r="E1233" s="78"/>
      <c r="F1233" s="15"/>
      <c r="G1233" s="26"/>
      <c r="H1233" s="12" t="b">
        <v>0</v>
      </c>
      <c r="I1233" s="28"/>
      <c r="J1233" s="12" t="b">
        <v>0</v>
      </c>
    </row>
    <row r="1234">
      <c r="A1234" s="12"/>
      <c r="B1234" s="12"/>
      <c r="C1234" s="12"/>
      <c r="D1234" s="13"/>
      <c r="E1234" s="78"/>
      <c r="F1234" s="15"/>
      <c r="G1234" s="26"/>
      <c r="H1234" s="12" t="b">
        <v>0</v>
      </c>
      <c r="I1234" s="28"/>
      <c r="J1234" s="12" t="b">
        <v>0</v>
      </c>
    </row>
    <row r="1235">
      <c r="A1235" s="12"/>
      <c r="B1235" s="12"/>
      <c r="C1235" s="12"/>
      <c r="D1235" s="13"/>
      <c r="E1235" s="78"/>
      <c r="F1235" s="15"/>
      <c r="G1235" s="26"/>
      <c r="H1235" s="12" t="b">
        <v>0</v>
      </c>
      <c r="I1235" s="28"/>
      <c r="J1235" s="12" t="b">
        <v>0</v>
      </c>
    </row>
    <row r="1236">
      <c r="A1236" s="12"/>
      <c r="B1236" s="12"/>
      <c r="C1236" s="12"/>
      <c r="D1236" s="13"/>
      <c r="E1236" s="78"/>
      <c r="F1236" s="15"/>
      <c r="G1236" s="26"/>
      <c r="H1236" s="12" t="b">
        <v>0</v>
      </c>
      <c r="I1236" s="28"/>
      <c r="J1236" s="12" t="b">
        <v>0</v>
      </c>
    </row>
    <row r="1237">
      <c r="A1237" s="12"/>
      <c r="B1237" s="12"/>
      <c r="C1237" s="12"/>
      <c r="D1237" s="13"/>
      <c r="E1237" s="78"/>
      <c r="F1237" s="15"/>
      <c r="G1237" s="26"/>
      <c r="H1237" s="12" t="b">
        <v>0</v>
      </c>
      <c r="I1237" s="28"/>
      <c r="J1237" s="12" t="b">
        <v>0</v>
      </c>
    </row>
    <row r="1238">
      <c r="A1238" s="12"/>
      <c r="B1238" s="12"/>
      <c r="C1238" s="12"/>
      <c r="D1238" s="13"/>
      <c r="E1238" s="78"/>
      <c r="F1238" s="15"/>
      <c r="G1238" s="26"/>
      <c r="H1238" s="12" t="b">
        <v>0</v>
      </c>
      <c r="I1238" s="28"/>
      <c r="J1238" s="12" t="b">
        <v>0</v>
      </c>
    </row>
    <row r="1239">
      <c r="A1239" s="12"/>
      <c r="B1239" s="12"/>
      <c r="C1239" s="12"/>
      <c r="D1239" s="13"/>
      <c r="E1239" s="78"/>
      <c r="F1239" s="15"/>
      <c r="G1239" s="26"/>
      <c r="H1239" s="12" t="b">
        <v>0</v>
      </c>
      <c r="I1239" s="28"/>
      <c r="J1239" s="12" t="b">
        <v>0</v>
      </c>
    </row>
    <row r="1240">
      <c r="A1240" s="12"/>
      <c r="B1240" s="12"/>
      <c r="C1240" s="12"/>
      <c r="D1240" s="13"/>
      <c r="E1240" s="78"/>
      <c r="F1240" s="15"/>
      <c r="G1240" s="26"/>
      <c r="H1240" s="12" t="b">
        <v>0</v>
      </c>
      <c r="I1240" s="28"/>
      <c r="J1240" s="12" t="b">
        <v>0</v>
      </c>
    </row>
    <row r="1241">
      <c r="A1241" s="12"/>
      <c r="B1241" s="12"/>
      <c r="C1241" s="12"/>
      <c r="D1241" s="13"/>
      <c r="E1241" s="78"/>
      <c r="F1241" s="15"/>
      <c r="G1241" s="26"/>
      <c r="H1241" s="12" t="b">
        <v>0</v>
      </c>
      <c r="I1241" s="28"/>
      <c r="J1241" s="12" t="b">
        <v>0</v>
      </c>
    </row>
    <row r="1242">
      <c r="A1242" s="12"/>
      <c r="B1242" s="12"/>
      <c r="C1242" s="12"/>
      <c r="D1242" s="13"/>
      <c r="E1242" s="78"/>
      <c r="F1242" s="15"/>
      <c r="G1242" s="26"/>
      <c r="H1242" s="12" t="b">
        <v>0</v>
      </c>
      <c r="I1242" s="28"/>
      <c r="J1242" s="12" t="b">
        <v>0</v>
      </c>
    </row>
    <row r="1243">
      <c r="A1243" s="12"/>
      <c r="B1243" s="12"/>
      <c r="C1243" s="12"/>
      <c r="D1243" s="13"/>
      <c r="E1243" s="78"/>
      <c r="F1243" s="15"/>
      <c r="G1243" s="26"/>
      <c r="H1243" s="12" t="b">
        <v>0</v>
      </c>
      <c r="I1243" s="28"/>
      <c r="J1243" s="12" t="b">
        <v>0</v>
      </c>
    </row>
    <row r="1244">
      <c r="A1244" s="12"/>
      <c r="B1244" s="12"/>
      <c r="C1244" s="12"/>
      <c r="D1244" s="13"/>
      <c r="E1244" s="78"/>
      <c r="F1244" s="15"/>
      <c r="G1244" s="26"/>
      <c r="H1244" s="12" t="b">
        <v>0</v>
      </c>
      <c r="I1244" s="28"/>
      <c r="J1244" s="12" t="b">
        <v>0</v>
      </c>
    </row>
    <row r="1245">
      <c r="A1245" s="12"/>
      <c r="B1245" s="12"/>
      <c r="C1245" s="12"/>
      <c r="D1245" s="13"/>
      <c r="E1245" s="78"/>
      <c r="F1245" s="15"/>
      <c r="G1245" s="26"/>
      <c r="H1245" s="12" t="b">
        <v>0</v>
      </c>
      <c r="I1245" s="28"/>
      <c r="J1245" s="12" t="b">
        <v>0</v>
      </c>
    </row>
    <row r="1246">
      <c r="A1246" s="12"/>
      <c r="B1246" s="12"/>
      <c r="C1246" s="12"/>
      <c r="D1246" s="13"/>
      <c r="E1246" s="78"/>
      <c r="F1246" s="15"/>
      <c r="G1246" s="26"/>
      <c r="H1246" s="12" t="b">
        <v>0</v>
      </c>
      <c r="I1246" s="28"/>
      <c r="J1246" s="12" t="b">
        <v>0</v>
      </c>
    </row>
    <row r="1247">
      <c r="A1247" s="12"/>
      <c r="B1247" s="12"/>
      <c r="C1247" s="12"/>
      <c r="D1247" s="13"/>
      <c r="E1247" s="78"/>
      <c r="F1247" s="15"/>
      <c r="G1247" s="26"/>
      <c r="H1247" s="12" t="b">
        <v>0</v>
      </c>
      <c r="I1247" s="28"/>
      <c r="J1247" s="12" t="b">
        <v>0</v>
      </c>
    </row>
    <row r="1248">
      <c r="A1248" s="12"/>
      <c r="B1248" s="12"/>
      <c r="C1248" s="12"/>
      <c r="D1248" s="13"/>
      <c r="E1248" s="78"/>
      <c r="F1248" s="15"/>
      <c r="G1248" s="26"/>
      <c r="H1248" s="12" t="b">
        <v>0</v>
      </c>
      <c r="I1248" s="28"/>
      <c r="J1248" s="12" t="b">
        <v>0</v>
      </c>
    </row>
    <row r="1249">
      <c r="A1249" s="12"/>
      <c r="B1249" s="12"/>
      <c r="C1249" s="12"/>
      <c r="D1249" s="13"/>
      <c r="E1249" s="78"/>
      <c r="F1249" s="15"/>
      <c r="G1249" s="26"/>
      <c r="H1249" s="12" t="b">
        <v>0</v>
      </c>
      <c r="I1249" s="28"/>
      <c r="J1249" s="12" t="b">
        <v>0</v>
      </c>
    </row>
    <row r="1250">
      <c r="A1250" s="12"/>
      <c r="B1250" s="12"/>
      <c r="C1250" s="12"/>
      <c r="D1250" s="13"/>
      <c r="E1250" s="78"/>
      <c r="F1250" s="15"/>
      <c r="G1250" s="26"/>
      <c r="H1250" s="12" t="b">
        <v>0</v>
      </c>
      <c r="I1250" s="28"/>
      <c r="J1250" s="12" t="b">
        <v>0</v>
      </c>
    </row>
    <row r="1251">
      <c r="A1251" s="12"/>
      <c r="B1251" s="12"/>
      <c r="C1251" s="12"/>
      <c r="D1251" s="13"/>
      <c r="E1251" s="78"/>
      <c r="F1251" s="15"/>
      <c r="G1251" s="26"/>
      <c r="H1251" s="12" t="b">
        <v>0</v>
      </c>
      <c r="I1251" s="28"/>
      <c r="J1251" s="12" t="b">
        <v>0</v>
      </c>
    </row>
    <row r="1252">
      <c r="A1252" s="12"/>
      <c r="B1252" s="12"/>
      <c r="C1252" s="12"/>
      <c r="D1252" s="13"/>
      <c r="E1252" s="78"/>
      <c r="F1252" s="15"/>
      <c r="G1252" s="26"/>
      <c r="H1252" s="12" t="b">
        <v>0</v>
      </c>
      <c r="I1252" s="28"/>
      <c r="J1252" s="12" t="b">
        <v>0</v>
      </c>
    </row>
    <row r="1253">
      <c r="A1253" s="12"/>
      <c r="B1253" s="12"/>
      <c r="C1253" s="12"/>
      <c r="D1253" s="13"/>
      <c r="E1253" s="78"/>
      <c r="F1253" s="15"/>
      <c r="G1253" s="26"/>
      <c r="H1253" s="12" t="b">
        <v>0</v>
      </c>
      <c r="I1253" s="28"/>
      <c r="J1253" s="12" t="b">
        <v>0</v>
      </c>
    </row>
    <row r="1254">
      <c r="A1254" s="12"/>
      <c r="B1254" s="12"/>
      <c r="C1254" s="12"/>
      <c r="D1254" s="13"/>
      <c r="E1254" s="78"/>
      <c r="F1254" s="15"/>
      <c r="G1254" s="26"/>
      <c r="H1254" s="12" t="b">
        <v>0</v>
      </c>
      <c r="I1254" s="28"/>
      <c r="J1254" s="12" t="b">
        <v>0</v>
      </c>
    </row>
    <row r="1255">
      <c r="A1255" s="12"/>
      <c r="B1255" s="12"/>
      <c r="C1255" s="12"/>
      <c r="D1255" s="13"/>
      <c r="E1255" s="78"/>
      <c r="F1255" s="15"/>
      <c r="G1255" s="26"/>
      <c r="H1255" s="12" t="b">
        <v>0</v>
      </c>
      <c r="I1255" s="28"/>
      <c r="J1255" s="12" t="b">
        <v>0</v>
      </c>
    </row>
    <row r="1256">
      <c r="A1256" s="12"/>
      <c r="B1256" s="12"/>
      <c r="C1256" s="12"/>
      <c r="D1256" s="13"/>
      <c r="E1256" s="78"/>
      <c r="F1256" s="15"/>
      <c r="G1256" s="26"/>
      <c r="H1256" s="12" t="b">
        <v>0</v>
      </c>
      <c r="I1256" s="28"/>
      <c r="J1256" s="12" t="b">
        <v>0</v>
      </c>
    </row>
    <row r="1257">
      <c r="A1257" s="12"/>
      <c r="B1257" s="12"/>
      <c r="C1257" s="12"/>
      <c r="D1257" s="13"/>
      <c r="E1257" s="78"/>
      <c r="F1257" s="15"/>
      <c r="G1257" s="26"/>
      <c r="H1257" s="12" t="b">
        <v>0</v>
      </c>
      <c r="I1257" s="28"/>
      <c r="J1257" s="12" t="b">
        <v>0</v>
      </c>
    </row>
    <row r="1258">
      <c r="A1258" s="12"/>
      <c r="B1258" s="12"/>
      <c r="C1258" s="12"/>
      <c r="D1258" s="13"/>
      <c r="E1258" s="78"/>
      <c r="F1258" s="15"/>
      <c r="G1258" s="26"/>
      <c r="H1258" s="12" t="b">
        <v>0</v>
      </c>
      <c r="I1258" s="28"/>
      <c r="J1258" s="12" t="b">
        <v>0</v>
      </c>
    </row>
    <row r="1259">
      <c r="A1259" s="12"/>
      <c r="B1259" s="12"/>
      <c r="C1259" s="12"/>
      <c r="D1259" s="13"/>
      <c r="E1259" s="78"/>
      <c r="F1259" s="15"/>
      <c r="G1259" s="26"/>
      <c r="H1259" s="12" t="b">
        <v>0</v>
      </c>
      <c r="I1259" s="28"/>
      <c r="J1259" s="12" t="b">
        <v>0</v>
      </c>
    </row>
    <row r="1260">
      <c r="A1260" s="12"/>
      <c r="B1260" s="12"/>
      <c r="C1260" s="12"/>
      <c r="D1260" s="13"/>
      <c r="E1260" s="78"/>
      <c r="F1260" s="15"/>
      <c r="G1260" s="26"/>
      <c r="H1260" s="12" t="b">
        <v>0</v>
      </c>
      <c r="I1260" s="28"/>
      <c r="J1260" s="12" t="b">
        <v>0</v>
      </c>
    </row>
    <row r="1261">
      <c r="A1261" s="12"/>
      <c r="B1261" s="12"/>
      <c r="C1261" s="12"/>
      <c r="D1261" s="13"/>
      <c r="E1261" s="78"/>
      <c r="F1261" s="15"/>
      <c r="G1261" s="26"/>
      <c r="H1261" s="12" t="b">
        <v>0</v>
      </c>
      <c r="I1261" s="28"/>
      <c r="J1261" s="12" t="b">
        <v>0</v>
      </c>
    </row>
    <row r="1262">
      <c r="A1262" s="12"/>
      <c r="B1262" s="12"/>
      <c r="C1262" s="12"/>
      <c r="D1262" s="13"/>
      <c r="E1262" s="78"/>
      <c r="F1262" s="15"/>
      <c r="G1262" s="26"/>
      <c r="H1262" s="12" t="b">
        <v>0</v>
      </c>
      <c r="I1262" s="28"/>
      <c r="J1262" s="12" t="b">
        <v>0</v>
      </c>
    </row>
    <row r="1263">
      <c r="A1263" s="12"/>
      <c r="B1263" s="12"/>
      <c r="C1263" s="12"/>
      <c r="D1263" s="13"/>
      <c r="E1263" s="78"/>
      <c r="F1263" s="15"/>
      <c r="G1263" s="26"/>
      <c r="H1263" s="12" t="b">
        <v>0</v>
      </c>
      <c r="I1263" s="28"/>
      <c r="J1263" s="12" t="b">
        <v>0</v>
      </c>
    </row>
    <row r="1264">
      <c r="A1264" s="12"/>
      <c r="B1264" s="12"/>
      <c r="C1264" s="12"/>
      <c r="D1264" s="13"/>
      <c r="E1264" s="78"/>
      <c r="F1264" s="15"/>
      <c r="G1264" s="26"/>
      <c r="H1264" s="12" t="b">
        <v>0</v>
      </c>
      <c r="I1264" s="28"/>
      <c r="J1264" s="12" t="b">
        <v>0</v>
      </c>
    </row>
    <row r="1265">
      <c r="A1265" s="12"/>
      <c r="B1265" s="12"/>
      <c r="C1265" s="12"/>
      <c r="D1265" s="13"/>
      <c r="E1265" s="78"/>
      <c r="F1265" s="15"/>
      <c r="G1265" s="26"/>
      <c r="H1265" s="12" t="b">
        <v>0</v>
      </c>
      <c r="I1265" s="28"/>
      <c r="J1265" s="12" t="b">
        <v>0</v>
      </c>
    </row>
    <row r="1266">
      <c r="A1266" s="12"/>
      <c r="B1266" s="12"/>
      <c r="C1266" s="12"/>
      <c r="D1266" s="13"/>
      <c r="E1266" s="78"/>
      <c r="F1266" s="15"/>
      <c r="G1266" s="26"/>
      <c r="H1266" s="12" t="b">
        <v>0</v>
      </c>
      <c r="I1266" s="28"/>
      <c r="J1266" s="12" t="b">
        <v>0</v>
      </c>
    </row>
    <row r="1267">
      <c r="A1267" s="12"/>
      <c r="B1267" s="12"/>
      <c r="C1267" s="12"/>
      <c r="D1267" s="13"/>
      <c r="E1267" s="78"/>
      <c r="F1267" s="15"/>
      <c r="G1267" s="26"/>
      <c r="H1267" s="12" t="b">
        <v>0</v>
      </c>
      <c r="I1267" s="28"/>
      <c r="J1267" s="12" t="b">
        <v>0</v>
      </c>
    </row>
    <row r="1268">
      <c r="A1268" s="12"/>
      <c r="B1268" s="12"/>
      <c r="C1268" s="12"/>
      <c r="D1268" s="13"/>
      <c r="E1268" s="78"/>
      <c r="F1268" s="15"/>
      <c r="G1268" s="26"/>
      <c r="H1268" s="12" t="b">
        <v>0</v>
      </c>
      <c r="I1268" s="28"/>
      <c r="J1268" s="12" t="b">
        <v>0</v>
      </c>
    </row>
    <row r="1269">
      <c r="A1269" s="12"/>
      <c r="B1269" s="12"/>
      <c r="C1269" s="12"/>
      <c r="D1269" s="13"/>
      <c r="E1269" s="78"/>
      <c r="F1269" s="15"/>
      <c r="G1269" s="26"/>
      <c r="H1269" s="12" t="b">
        <v>0</v>
      </c>
      <c r="I1269" s="28"/>
      <c r="J1269" s="12" t="b">
        <v>0</v>
      </c>
    </row>
    <row r="1270">
      <c r="A1270" s="12"/>
      <c r="B1270" s="12"/>
      <c r="C1270" s="12"/>
      <c r="D1270" s="13"/>
      <c r="E1270" s="78"/>
      <c r="F1270" s="15"/>
      <c r="G1270" s="26"/>
      <c r="H1270" s="12" t="b">
        <v>0</v>
      </c>
      <c r="I1270" s="28"/>
      <c r="J1270" s="12" t="b">
        <v>0</v>
      </c>
    </row>
    <row r="1271">
      <c r="A1271" s="12"/>
      <c r="B1271" s="12"/>
      <c r="C1271" s="12"/>
      <c r="D1271" s="13"/>
      <c r="E1271" s="78"/>
      <c r="F1271" s="15"/>
      <c r="G1271" s="26"/>
      <c r="H1271" s="12" t="b">
        <v>0</v>
      </c>
      <c r="I1271" s="28"/>
      <c r="J1271" s="12" t="b">
        <v>0</v>
      </c>
    </row>
    <row r="1272">
      <c r="A1272" s="12"/>
      <c r="B1272" s="12"/>
      <c r="C1272" s="12"/>
      <c r="D1272" s="13"/>
      <c r="E1272" s="78"/>
      <c r="F1272" s="15"/>
      <c r="G1272" s="26"/>
      <c r="H1272" s="12" t="b">
        <v>0</v>
      </c>
      <c r="I1272" s="28"/>
      <c r="J1272" s="12" t="b">
        <v>0</v>
      </c>
    </row>
    <row r="1273">
      <c r="A1273" s="12"/>
      <c r="B1273" s="12"/>
      <c r="C1273" s="12"/>
      <c r="D1273" s="13"/>
      <c r="E1273" s="78"/>
      <c r="F1273" s="15"/>
      <c r="G1273" s="26"/>
      <c r="H1273" s="12" t="b">
        <v>0</v>
      </c>
      <c r="I1273" s="28"/>
      <c r="J1273" s="12" t="b">
        <v>0</v>
      </c>
    </row>
    <row r="1274">
      <c r="A1274" s="12"/>
      <c r="B1274" s="12"/>
      <c r="C1274" s="12"/>
      <c r="D1274" s="13"/>
      <c r="E1274" s="78"/>
      <c r="F1274" s="15"/>
      <c r="G1274" s="26"/>
      <c r="H1274" s="12" t="b">
        <v>0</v>
      </c>
      <c r="I1274" s="28"/>
      <c r="J1274" s="12" t="b">
        <v>0</v>
      </c>
    </row>
    <row r="1275">
      <c r="A1275" s="12"/>
      <c r="B1275" s="12"/>
      <c r="C1275" s="12"/>
      <c r="D1275" s="13"/>
      <c r="E1275" s="78"/>
      <c r="F1275" s="15"/>
      <c r="G1275" s="26"/>
      <c r="H1275" s="12" t="b">
        <v>0</v>
      </c>
      <c r="I1275" s="28"/>
      <c r="J1275" s="12" t="b">
        <v>0</v>
      </c>
    </row>
    <row r="1276">
      <c r="A1276" s="12"/>
      <c r="B1276" s="12"/>
      <c r="C1276" s="12"/>
      <c r="D1276" s="13"/>
      <c r="E1276" s="78"/>
      <c r="F1276" s="15"/>
      <c r="G1276" s="26"/>
      <c r="H1276" s="12" t="b">
        <v>0</v>
      </c>
      <c r="I1276" s="28"/>
      <c r="J1276" s="12" t="b">
        <v>0</v>
      </c>
    </row>
    <row r="1277">
      <c r="A1277" s="12"/>
      <c r="B1277" s="12"/>
      <c r="C1277" s="12"/>
      <c r="D1277" s="13"/>
      <c r="E1277" s="78"/>
      <c r="F1277" s="15"/>
      <c r="G1277" s="26"/>
      <c r="H1277" s="12" t="b">
        <v>0</v>
      </c>
      <c r="I1277" s="28"/>
      <c r="J1277" s="12" t="b">
        <v>0</v>
      </c>
    </row>
    <row r="1278">
      <c r="A1278" s="12"/>
      <c r="B1278" s="12"/>
      <c r="C1278" s="12"/>
      <c r="D1278" s="13"/>
      <c r="E1278" s="78"/>
      <c r="F1278" s="15"/>
      <c r="G1278" s="26"/>
      <c r="H1278" s="12" t="b">
        <v>0</v>
      </c>
      <c r="I1278" s="28"/>
      <c r="J1278" s="12" t="b">
        <v>0</v>
      </c>
    </row>
    <row r="1279">
      <c r="A1279" s="12"/>
      <c r="B1279" s="12"/>
      <c r="C1279" s="12"/>
      <c r="D1279" s="13"/>
      <c r="E1279" s="78"/>
      <c r="F1279" s="15"/>
      <c r="G1279" s="26"/>
      <c r="H1279" s="12" t="b">
        <v>0</v>
      </c>
      <c r="I1279" s="28"/>
      <c r="J1279" s="12" t="b">
        <v>0</v>
      </c>
    </row>
    <row r="1280">
      <c r="A1280" s="12"/>
      <c r="B1280" s="12"/>
      <c r="C1280" s="12"/>
      <c r="D1280" s="13"/>
      <c r="E1280" s="78"/>
      <c r="F1280" s="15"/>
      <c r="G1280" s="26"/>
      <c r="H1280" s="12" t="b">
        <v>0</v>
      </c>
      <c r="I1280" s="28"/>
      <c r="J1280" s="12" t="b">
        <v>0</v>
      </c>
    </row>
    <row r="1281">
      <c r="A1281" s="12"/>
      <c r="B1281" s="12"/>
      <c r="C1281" s="12"/>
      <c r="D1281" s="13"/>
      <c r="E1281" s="78"/>
      <c r="F1281" s="15"/>
      <c r="G1281" s="26"/>
      <c r="H1281" s="12" t="b">
        <v>0</v>
      </c>
      <c r="I1281" s="28"/>
      <c r="J1281" s="12" t="b">
        <v>0</v>
      </c>
    </row>
    <row r="1282">
      <c r="A1282" s="12"/>
      <c r="B1282" s="12"/>
      <c r="C1282" s="12"/>
      <c r="D1282" s="13"/>
      <c r="E1282" s="78"/>
      <c r="F1282" s="15"/>
      <c r="G1282" s="26"/>
      <c r="H1282" s="12" t="b">
        <v>0</v>
      </c>
      <c r="I1282" s="28"/>
      <c r="J1282" s="12" t="b">
        <v>0</v>
      </c>
    </row>
    <row r="1283">
      <c r="A1283" s="12"/>
      <c r="B1283" s="12"/>
      <c r="C1283" s="12"/>
      <c r="D1283" s="13"/>
      <c r="E1283" s="78"/>
      <c r="F1283" s="15"/>
      <c r="G1283" s="26"/>
      <c r="H1283" s="12" t="b">
        <v>0</v>
      </c>
      <c r="I1283" s="28"/>
      <c r="J1283" s="12" t="b">
        <v>0</v>
      </c>
    </row>
    <row r="1284">
      <c r="A1284" s="12"/>
      <c r="B1284" s="12"/>
      <c r="C1284" s="12"/>
      <c r="D1284" s="13"/>
      <c r="E1284" s="78"/>
      <c r="F1284" s="15"/>
      <c r="G1284" s="26"/>
      <c r="H1284" s="12" t="b">
        <v>0</v>
      </c>
      <c r="I1284" s="28"/>
      <c r="J1284" s="12" t="b">
        <v>0</v>
      </c>
    </row>
    <row r="1285">
      <c r="A1285" s="12"/>
      <c r="B1285" s="12"/>
      <c r="C1285" s="12"/>
      <c r="D1285" s="13"/>
      <c r="E1285" s="78"/>
      <c r="F1285" s="15"/>
      <c r="G1285" s="26"/>
      <c r="H1285" s="12" t="b">
        <v>0</v>
      </c>
      <c r="I1285" s="28"/>
      <c r="J1285" s="12" t="b">
        <v>0</v>
      </c>
    </row>
    <row r="1286">
      <c r="A1286" s="12"/>
      <c r="B1286" s="12"/>
      <c r="C1286" s="12"/>
      <c r="D1286" s="13"/>
      <c r="E1286" s="78"/>
      <c r="F1286" s="15"/>
      <c r="G1286" s="26"/>
      <c r="H1286" s="12" t="b">
        <v>0</v>
      </c>
      <c r="I1286" s="28"/>
      <c r="J1286" s="12" t="b">
        <v>0</v>
      </c>
    </row>
    <row r="1287">
      <c r="A1287" s="12"/>
      <c r="B1287" s="12"/>
      <c r="C1287" s="12"/>
      <c r="D1287" s="13"/>
      <c r="E1287" s="78"/>
      <c r="F1287" s="15"/>
      <c r="G1287" s="26"/>
      <c r="H1287" s="12" t="b">
        <v>0</v>
      </c>
      <c r="I1287" s="28"/>
      <c r="J1287" s="12" t="b">
        <v>0</v>
      </c>
    </row>
    <row r="1288">
      <c r="A1288" s="12"/>
      <c r="B1288" s="12"/>
      <c r="C1288" s="12"/>
      <c r="D1288" s="13"/>
      <c r="E1288" s="78"/>
      <c r="F1288" s="15"/>
      <c r="G1288" s="26"/>
      <c r="H1288" s="12" t="b">
        <v>0</v>
      </c>
      <c r="I1288" s="28"/>
      <c r="J1288" s="12" t="b">
        <v>0</v>
      </c>
    </row>
    <row r="1289">
      <c r="A1289" s="12"/>
      <c r="B1289" s="12"/>
      <c r="C1289" s="12"/>
      <c r="D1289" s="13"/>
      <c r="E1289" s="78"/>
      <c r="F1289" s="15"/>
      <c r="G1289" s="26"/>
      <c r="H1289" s="12" t="b">
        <v>0</v>
      </c>
      <c r="I1289" s="28"/>
      <c r="J1289" s="12" t="b">
        <v>0</v>
      </c>
    </row>
    <row r="1290">
      <c r="A1290" s="12"/>
      <c r="B1290" s="12"/>
      <c r="C1290" s="12"/>
      <c r="D1290" s="13"/>
      <c r="E1290" s="78"/>
      <c r="F1290" s="15"/>
      <c r="G1290" s="26"/>
      <c r="H1290" s="12" t="b">
        <v>0</v>
      </c>
      <c r="I1290" s="28"/>
      <c r="J1290" s="12" t="b">
        <v>0</v>
      </c>
    </row>
    <row r="1291">
      <c r="A1291" s="12"/>
      <c r="B1291" s="12"/>
      <c r="C1291" s="12"/>
      <c r="D1291" s="13"/>
      <c r="E1291" s="78"/>
      <c r="F1291" s="15"/>
      <c r="G1291" s="26"/>
      <c r="H1291" s="12" t="b">
        <v>0</v>
      </c>
      <c r="I1291" s="28"/>
      <c r="J1291" s="12" t="b">
        <v>0</v>
      </c>
    </row>
    <row r="1292">
      <c r="A1292" s="12"/>
      <c r="B1292" s="12"/>
      <c r="C1292" s="12"/>
      <c r="D1292" s="13"/>
      <c r="E1292" s="78"/>
      <c r="F1292" s="15"/>
      <c r="G1292" s="26"/>
      <c r="H1292" s="12" t="b">
        <v>0</v>
      </c>
      <c r="I1292" s="28"/>
      <c r="J1292" s="12" t="b">
        <v>0</v>
      </c>
    </row>
    <row r="1293">
      <c r="A1293" s="12"/>
      <c r="B1293" s="12"/>
      <c r="C1293" s="12"/>
      <c r="D1293" s="13"/>
      <c r="E1293" s="78"/>
      <c r="F1293" s="15"/>
      <c r="G1293" s="26"/>
      <c r="H1293" s="12" t="b">
        <v>0</v>
      </c>
      <c r="I1293" s="28"/>
      <c r="J1293" s="12" t="b">
        <v>0</v>
      </c>
    </row>
    <row r="1294">
      <c r="A1294" s="12"/>
      <c r="B1294" s="12"/>
      <c r="C1294" s="12"/>
      <c r="D1294" s="13"/>
      <c r="E1294" s="78"/>
      <c r="F1294" s="15"/>
      <c r="G1294" s="26"/>
      <c r="H1294" s="12" t="b">
        <v>0</v>
      </c>
      <c r="I1294" s="28"/>
      <c r="J1294" s="12" t="b">
        <v>0</v>
      </c>
    </row>
    <row r="1295">
      <c r="A1295" s="12"/>
      <c r="B1295" s="12"/>
      <c r="C1295" s="12"/>
      <c r="D1295" s="13"/>
      <c r="E1295" s="78"/>
      <c r="F1295" s="15"/>
      <c r="G1295" s="26"/>
      <c r="H1295" s="12" t="b">
        <v>0</v>
      </c>
      <c r="I1295" s="28"/>
      <c r="J1295" s="12" t="b">
        <v>0</v>
      </c>
    </row>
    <row r="1296">
      <c r="A1296" s="12"/>
      <c r="B1296" s="12"/>
      <c r="C1296" s="12"/>
      <c r="D1296" s="13"/>
      <c r="E1296" s="78"/>
      <c r="F1296" s="15"/>
      <c r="G1296" s="26"/>
      <c r="H1296" s="12" t="b">
        <v>0</v>
      </c>
      <c r="I1296" s="28"/>
      <c r="J1296" s="12" t="b">
        <v>0</v>
      </c>
    </row>
    <row r="1297">
      <c r="A1297" s="12"/>
      <c r="B1297" s="12"/>
      <c r="C1297" s="12"/>
      <c r="D1297" s="13"/>
      <c r="E1297" s="78"/>
      <c r="F1297" s="15"/>
      <c r="G1297" s="26"/>
      <c r="H1297" s="12" t="b">
        <v>0</v>
      </c>
      <c r="I1297" s="28"/>
      <c r="J1297" s="12" t="b">
        <v>0</v>
      </c>
    </row>
    <row r="1298">
      <c r="A1298" s="12"/>
      <c r="B1298" s="12"/>
      <c r="C1298" s="12"/>
      <c r="D1298" s="13"/>
      <c r="E1298" s="78"/>
      <c r="F1298" s="15"/>
      <c r="G1298" s="26"/>
      <c r="H1298" s="12" t="b">
        <v>0</v>
      </c>
      <c r="I1298" s="28"/>
      <c r="J1298" s="12" t="b">
        <v>0</v>
      </c>
    </row>
    <row r="1299">
      <c r="A1299" s="12"/>
      <c r="B1299" s="12"/>
      <c r="C1299" s="12"/>
      <c r="D1299" s="13"/>
      <c r="E1299" s="78"/>
      <c r="F1299" s="15"/>
      <c r="G1299" s="26"/>
      <c r="H1299" s="12" t="b">
        <v>0</v>
      </c>
      <c r="I1299" s="28"/>
      <c r="J1299" s="12" t="b">
        <v>0</v>
      </c>
    </row>
    <row r="1300">
      <c r="A1300" s="12"/>
      <c r="B1300" s="12"/>
      <c r="C1300" s="12"/>
      <c r="D1300" s="13"/>
      <c r="E1300" s="78"/>
      <c r="F1300" s="15"/>
      <c r="G1300" s="26"/>
      <c r="H1300" s="12" t="b">
        <v>0</v>
      </c>
      <c r="I1300" s="28"/>
      <c r="J1300" s="12" t="b">
        <v>0</v>
      </c>
    </row>
    <row r="1301">
      <c r="A1301" s="12"/>
      <c r="B1301" s="12"/>
      <c r="C1301" s="12"/>
      <c r="D1301" s="13"/>
      <c r="E1301" s="78"/>
      <c r="F1301" s="15"/>
      <c r="G1301" s="26"/>
      <c r="H1301" s="12" t="b">
        <v>0</v>
      </c>
      <c r="I1301" s="28"/>
      <c r="J1301" s="12" t="b">
        <v>0</v>
      </c>
    </row>
    <row r="1302">
      <c r="A1302" s="12"/>
      <c r="B1302" s="12"/>
      <c r="C1302" s="12"/>
      <c r="D1302" s="13"/>
      <c r="E1302" s="78"/>
      <c r="F1302" s="15"/>
      <c r="G1302" s="26"/>
      <c r="H1302" s="12" t="b">
        <v>0</v>
      </c>
      <c r="I1302" s="28"/>
      <c r="J1302" s="12" t="b">
        <v>0</v>
      </c>
    </row>
    <row r="1303">
      <c r="A1303" s="12"/>
      <c r="B1303" s="12"/>
      <c r="C1303" s="12"/>
      <c r="D1303" s="13"/>
      <c r="E1303" s="78"/>
      <c r="F1303" s="15"/>
      <c r="G1303" s="26"/>
      <c r="H1303" s="12" t="b">
        <v>0</v>
      </c>
      <c r="I1303" s="28"/>
      <c r="J1303" s="12" t="b">
        <v>0</v>
      </c>
    </row>
    <row r="1304">
      <c r="A1304" s="12"/>
      <c r="B1304" s="12"/>
      <c r="C1304" s="12"/>
      <c r="D1304" s="13"/>
      <c r="E1304" s="78"/>
      <c r="F1304" s="15"/>
      <c r="G1304" s="26"/>
      <c r="H1304" s="12" t="b">
        <v>0</v>
      </c>
      <c r="I1304" s="28"/>
      <c r="J1304" s="12" t="b">
        <v>0</v>
      </c>
    </row>
    <row r="1305">
      <c r="A1305" s="12"/>
      <c r="B1305" s="12"/>
      <c r="C1305" s="12"/>
      <c r="D1305" s="13"/>
      <c r="E1305" s="78"/>
      <c r="F1305" s="15"/>
      <c r="G1305" s="26"/>
      <c r="H1305" s="12" t="b">
        <v>0</v>
      </c>
      <c r="I1305" s="28"/>
      <c r="J1305" s="12" t="b">
        <v>0</v>
      </c>
    </row>
    <row r="1306">
      <c r="A1306" s="12"/>
      <c r="B1306" s="12"/>
      <c r="C1306" s="12"/>
      <c r="D1306" s="13"/>
      <c r="E1306" s="78"/>
      <c r="F1306" s="15"/>
      <c r="G1306" s="26"/>
      <c r="H1306" s="12" t="b">
        <v>0</v>
      </c>
      <c r="I1306" s="28"/>
      <c r="J1306" s="12" t="b">
        <v>0</v>
      </c>
    </row>
    <row r="1307">
      <c r="A1307" s="12"/>
      <c r="B1307" s="12"/>
      <c r="C1307" s="12"/>
      <c r="D1307" s="13"/>
      <c r="E1307" s="78"/>
      <c r="F1307" s="15"/>
      <c r="G1307" s="26"/>
      <c r="H1307" s="12" t="b">
        <v>0</v>
      </c>
      <c r="I1307" s="28"/>
      <c r="J1307" s="12" t="b">
        <v>0</v>
      </c>
    </row>
    <row r="1308">
      <c r="A1308" s="12"/>
      <c r="B1308" s="12"/>
      <c r="C1308" s="12"/>
      <c r="D1308" s="13"/>
      <c r="E1308" s="78"/>
      <c r="F1308" s="15"/>
      <c r="G1308" s="26"/>
      <c r="H1308" s="12" t="b">
        <v>0</v>
      </c>
      <c r="I1308" s="28"/>
      <c r="J1308" s="12" t="b">
        <v>0</v>
      </c>
    </row>
    <row r="1309">
      <c r="A1309" s="12"/>
      <c r="B1309" s="12"/>
      <c r="C1309" s="12"/>
      <c r="D1309" s="13"/>
      <c r="E1309" s="78"/>
      <c r="F1309" s="15"/>
      <c r="G1309" s="26"/>
      <c r="H1309" s="12" t="b">
        <v>0</v>
      </c>
      <c r="I1309" s="28"/>
      <c r="J1309" s="12" t="b">
        <v>0</v>
      </c>
    </row>
    <row r="1310">
      <c r="A1310" s="12"/>
      <c r="B1310" s="12"/>
      <c r="C1310" s="12"/>
      <c r="D1310" s="13"/>
      <c r="E1310" s="78"/>
      <c r="F1310" s="15"/>
      <c r="G1310" s="26"/>
      <c r="H1310" s="12" t="b">
        <v>0</v>
      </c>
      <c r="I1310" s="28"/>
      <c r="J1310" s="12" t="b">
        <v>0</v>
      </c>
    </row>
    <row r="1311">
      <c r="A1311" s="12"/>
      <c r="B1311" s="12"/>
      <c r="C1311" s="12"/>
      <c r="D1311" s="13"/>
      <c r="E1311" s="78"/>
      <c r="F1311" s="15"/>
      <c r="G1311" s="26"/>
      <c r="H1311" s="12" t="b">
        <v>0</v>
      </c>
      <c r="I1311" s="28"/>
      <c r="J1311" s="12" t="b">
        <v>0</v>
      </c>
    </row>
    <row r="1312">
      <c r="A1312" s="12"/>
      <c r="B1312" s="12"/>
      <c r="C1312" s="12"/>
      <c r="D1312" s="13"/>
      <c r="E1312" s="78"/>
      <c r="F1312" s="15"/>
      <c r="G1312" s="26"/>
      <c r="H1312" s="12" t="b">
        <v>0</v>
      </c>
      <c r="I1312" s="28"/>
      <c r="J1312" s="12" t="b">
        <v>0</v>
      </c>
    </row>
    <row r="1313">
      <c r="A1313" s="12"/>
      <c r="B1313" s="12"/>
      <c r="C1313" s="12"/>
      <c r="D1313" s="13"/>
      <c r="E1313" s="78"/>
      <c r="F1313" s="15"/>
      <c r="G1313" s="26"/>
      <c r="H1313" s="12" t="b">
        <v>0</v>
      </c>
      <c r="I1313" s="28"/>
      <c r="J1313" s="12" t="b">
        <v>0</v>
      </c>
    </row>
    <row r="1314">
      <c r="A1314" s="12"/>
      <c r="B1314" s="12"/>
      <c r="C1314" s="12"/>
      <c r="D1314" s="13"/>
      <c r="E1314" s="78"/>
      <c r="F1314" s="15"/>
      <c r="G1314" s="26"/>
      <c r="H1314" s="12" t="b">
        <v>0</v>
      </c>
      <c r="I1314" s="28"/>
      <c r="J1314" s="12" t="b">
        <v>0</v>
      </c>
    </row>
    <row r="1315">
      <c r="A1315" s="12"/>
      <c r="B1315" s="12"/>
      <c r="C1315" s="12"/>
      <c r="D1315" s="13"/>
      <c r="E1315" s="78"/>
      <c r="F1315" s="15"/>
      <c r="G1315" s="26"/>
      <c r="H1315" s="12" t="b">
        <v>0</v>
      </c>
      <c r="I1315" s="28"/>
      <c r="J1315" s="12" t="b">
        <v>0</v>
      </c>
    </row>
    <row r="1316">
      <c r="A1316" s="12"/>
      <c r="B1316" s="12"/>
      <c r="C1316" s="12"/>
      <c r="D1316" s="13"/>
      <c r="E1316" s="78"/>
      <c r="F1316" s="15"/>
      <c r="G1316" s="26"/>
      <c r="H1316" s="12" t="b">
        <v>0</v>
      </c>
      <c r="I1316" s="28"/>
      <c r="J1316" s="12" t="b">
        <v>0</v>
      </c>
    </row>
    <row r="1317">
      <c r="A1317" s="12"/>
      <c r="B1317" s="12"/>
      <c r="C1317" s="12"/>
      <c r="D1317" s="13"/>
      <c r="E1317" s="78"/>
      <c r="F1317" s="15"/>
      <c r="G1317" s="26"/>
      <c r="H1317" s="12" t="b">
        <v>0</v>
      </c>
      <c r="I1317" s="28"/>
      <c r="J1317" s="12" t="b">
        <v>0</v>
      </c>
    </row>
    <row r="1318">
      <c r="A1318" s="12"/>
      <c r="B1318" s="12"/>
      <c r="C1318" s="12"/>
      <c r="D1318" s="13"/>
      <c r="E1318" s="78"/>
      <c r="F1318" s="15"/>
      <c r="G1318" s="26"/>
      <c r="H1318" s="12" t="b">
        <v>0</v>
      </c>
      <c r="I1318" s="28"/>
      <c r="J1318" s="12" t="b">
        <v>0</v>
      </c>
    </row>
    <row r="1319">
      <c r="A1319" s="12"/>
      <c r="B1319" s="12"/>
      <c r="C1319" s="12"/>
      <c r="D1319" s="13"/>
      <c r="E1319" s="78"/>
      <c r="F1319" s="15"/>
      <c r="G1319" s="26"/>
      <c r="H1319" s="12" t="b">
        <v>0</v>
      </c>
      <c r="I1319" s="28"/>
      <c r="J1319" s="12" t="b">
        <v>0</v>
      </c>
    </row>
    <row r="1320">
      <c r="A1320" s="12"/>
      <c r="B1320" s="12"/>
      <c r="C1320" s="12"/>
      <c r="D1320" s="13"/>
      <c r="E1320" s="78"/>
      <c r="F1320" s="15"/>
      <c r="G1320" s="26"/>
      <c r="H1320" s="12" t="b">
        <v>0</v>
      </c>
      <c r="I1320" s="28"/>
      <c r="J1320" s="12" t="b">
        <v>0</v>
      </c>
    </row>
    <row r="1321">
      <c r="A1321" s="12"/>
      <c r="B1321" s="12"/>
      <c r="C1321" s="12"/>
      <c r="D1321" s="13"/>
      <c r="E1321" s="78"/>
      <c r="F1321" s="15"/>
      <c r="G1321" s="26"/>
      <c r="H1321" s="12" t="b">
        <v>0</v>
      </c>
      <c r="I1321" s="28"/>
      <c r="J1321" s="12" t="b">
        <v>0</v>
      </c>
    </row>
    <row r="1322">
      <c r="A1322" s="12"/>
      <c r="B1322" s="12"/>
      <c r="C1322" s="12"/>
      <c r="D1322" s="13"/>
      <c r="E1322" s="78"/>
      <c r="F1322" s="15"/>
      <c r="G1322" s="26"/>
      <c r="H1322" s="12" t="b">
        <v>0</v>
      </c>
      <c r="I1322" s="28"/>
      <c r="J1322" s="12" t="b">
        <v>0</v>
      </c>
    </row>
    <row r="1323">
      <c r="A1323" s="12"/>
      <c r="B1323" s="12"/>
      <c r="C1323" s="12"/>
      <c r="D1323" s="13"/>
      <c r="E1323" s="78"/>
      <c r="F1323" s="15"/>
      <c r="G1323" s="26"/>
      <c r="H1323" s="12" t="b">
        <v>0</v>
      </c>
      <c r="I1323" s="28"/>
      <c r="J1323" s="12" t="b">
        <v>0</v>
      </c>
    </row>
    <row r="1324">
      <c r="A1324" s="12"/>
      <c r="B1324" s="12"/>
      <c r="C1324" s="12"/>
      <c r="D1324" s="13"/>
      <c r="E1324" s="78"/>
      <c r="F1324" s="15"/>
      <c r="G1324" s="26"/>
      <c r="H1324" s="12" t="b">
        <v>0</v>
      </c>
      <c r="I1324" s="28"/>
      <c r="J1324" s="12" t="b">
        <v>0</v>
      </c>
    </row>
    <row r="1325">
      <c r="A1325" s="12"/>
      <c r="B1325" s="12"/>
      <c r="C1325" s="12"/>
      <c r="D1325" s="13"/>
      <c r="E1325" s="78"/>
      <c r="F1325" s="15"/>
      <c r="G1325" s="26"/>
      <c r="H1325" s="12" t="b">
        <v>0</v>
      </c>
      <c r="I1325" s="28"/>
      <c r="J1325" s="12" t="b">
        <v>0</v>
      </c>
    </row>
    <row r="1326">
      <c r="A1326" s="12"/>
      <c r="B1326" s="12"/>
      <c r="C1326" s="12"/>
      <c r="D1326" s="13"/>
      <c r="E1326" s="78"/>
      <c r="F1326" s="15"/>
      <c r="G1326" s="26"/>
      <c r="H1326" s="12" t="b">
        <v>0</v>
      </c>
      <c r="I1326" s="28"/>
      <c r="J1326" s="12" t="b">
        <v>0</v>
      </c>
    </row>
    <row r="1327">
      <c r="A1327" s="12"/>
      <c r="B1327" s="12"/>
      <c r="C1327" s="12"/>
      <c r="D1327" s="13"/>
      <c r="E1327" s="78"/>
      <c r="F1327" s="15"/>
      <c r="G1327" s="26"/>
      <c r="H1327" s="12" t="b">
        <v>0</v>
      </c>
      <c r="I1327" s="28"/>
      <c r="J1327" s="12" t="b">
        <v>0</v>
      </c>
    </row>
    <row r="1328">
      <c r="A1328" s="12"/>
      <c r="B1328" s="12"/>
      <c r="C1328" s="12"/>
      <c r="D1328" s="13"/>
      <c r="E1328" s="78"/>
      <c r="F1328" s="15"/>
      <c r="G1328" s="26"/>
      <c r="H1328" s="12" t="b">
        <v>0</v>
      </c>
      <c r="I1328" s="28"/>
      <c r="J1328" s="12" t="b">
        <v>0</v>
      </c>
    </row>
    <row r="1329">
      <c r="A1329" s="12"/>
      <c r="B1329" s="12"/>
      <c r="C1329" s="12"/>
      <c r="D1329" s="13"/>
      <c r="E1329" s="78"/>
      <c r="F1329" s="15"/>
      <c r="G1329" s="26"/>
      <c r="H1329" s="12" t="b">
        <v>0</v>
      </c>
      <c r="I1329" s="28"/>
      <c r="J1329" s="12" t="b">
        <v>0</v>
      </c>
    </row>
    <row r="1330">
      <c r="A1330" s="12"/>
      <c r="B1330" s="12"/>
      <c r="C1330" s="12"/>
      <c r="D1330" s="13"/>
      <c r="E1330" s="78"/>
      <c r="F1330" s="15"/>
      <c r="G1330" s="26"/>
      <c r="H1330" s="12" t="b">
        <v>0</v>
      </c>
      <c r="I1330" s="28"/>
      <c r="J1330" s="12" t="b">
        <v>0</v>
      </c>
    </row>
    <row r="1331">
      <c r="A1331" s="12"/>
      <c r="B1331" s="12"/>
      <c r="C1331" s="12"/>
      <c r="D1331" s="13"/>
      <c r="E1331" s="78"/>
      <c r="F1331" s="15"/>
      <c r="G1331" s="26"/>
      <c r="H1331" s="12" t="b">
        <v>0</v>
      </c>
      <c r="I1331" s="28"/>
      <c r="J1331" s="12" t="b">
        <v>0</v>
      </c>
    </row>
    <row r="1332">
      <c r="A1332" s="12"/>
      <c r="B1332" s="12"/>
      <c r="C1332" s="12"/>
      <c r="D1332" s="13"/>
      <c r="E1332" s="78"/>
      <c r="F1332" s="15"/>
      <c r="G1332" s="26"/>
      <c r="H1332" s="12" t="b">
        <v>0</v>
      </c>
      <c r="I1332" s="28"/>
      <c r="J1332" s="12" t="b">
        <v>0</v>
      </c>
    </row>
    <row r="1333">
      <c r="A1333" s="12"/>
      <c r="B1333" s="12"/>
      <c r="C1333" s="12"/>
      <c r="D1333" s="13"/>
      <c r="E1333" s="78"/>
      <c r="F1333" s="15"/>
      <c r="G1333" s="26"/>
      <c r="H1333" s="12" t="b">
        <v>0</v>
      </c>
      <c r="I1333" s="28"/>
      <c r="J1333" s="12" t="b">
        <v>0</v>
      </c>
    </row>
    <row r="1334">
      <c r="A1334" s="12"/>
      <c r="B1334" s="12"/>
      <c r="C1334" s="12"/>
      <c r="D1334" s="13"/>
      <c r="E1334" s="78"/>
      <c r="F1334" s="15"/>
      <c r="G1334" s="26"/>
      <c r="H1334" s="12" t="b">
        <v>0</v>
      </c>
      <c r="I1334" s="28"/>
      <c r="J1334" s="12" t="b">
        <v>0</v>
      </c>
    </row>
    <row r="1335">
      <c r="A1335" s="12"/>
      <c r="B1335" s="12"/>
      <c r="C1335" s="12"/>
      <c r="D1335" s="13"/>
      <c r="E1335" s="78"/>
      <c r="F1335" s="15"/>
      <c r="G1335" s="26"/>
      <c r="H1335" s="12" t="b">
        <v>0</v>
      </c>
      <c r="I1335" s="28"/>
      <c r="J1335" s="12" t="b">
        <v>0</v>
      </c>
    </row>
    <row r="1336">
      <c r="A1336" s="12"/>
      <c r="B1336" s="12"/>
      <c r="C1336" s="12"/>
      <c r="D1336" s="13"/>
      <c r="E1336" s="78"/>
      <c r="F1336" s="15"/>
      <c r="G1336" s="26"/>
      <c r="H1336" s="12" t="b">
        <v>0</v>
      </c>
      <c r="I1336" s="28"/>
      <c r="J1336" s="12" t="b">
        <v>0</v>
      </c>
    </row>
    <row r="1337">
      <c r="A1337" s="12"/>
      <c r="B1337" s="12"/>
      <c r="C1337" s="12"/>
      <c r="D1337" s="13"/>
      <c r="E1337" s="78"/>
      <c r="F1337" s="15"/>
      <c r="G1337" s="26"/>
      <c r="H1337" s="12" t="b">
        <v>0</v>
      </c>
      <c r="I1337" s="28"/>
      <c r="J1337" s="12" t="b">
        <v>0</v>
      </c>
    </row>
    <row r="1338">
      <c r="A1338" s="12"/>
      <c r="B1338" s="12"/>
      <c r="C1338" s="12"/>
      <c r="D1338" s="13"/>
      <c r="E1338" s="78"/>
      <c r="F1338" s="15"/>
      <c r="G1338" s="26"/>
      <c r="H1338" s="12" t="b">
        <v>0</v>
      </c>
      <c r="I1338" s="28"/>
      <c r="J1338" s="12" t="b">
        <v>0</v>
      </c>
    </row>
    <row r="1339">
      <c r="A1339" s="12"/>
      <c r="B1339" s="12"/>
      <c r="C1339" s="12"/>
      <c r="D1339" s="13"/>
      <c r="E1339" s="78"/>
      <c r="F1339" s="15"/>
      <c r="G1339" s="26"/>
      <c r="H1339" s="12" t="b">
        <v>0</v>
      </c>
      <c r="I1339" s="28"/>
      <c r="J1339" s="12" t="b">
        <v>0</v>
      </c>
    </row>
    <row r="1340">
      <c r="A1340" s="12"/>
      <c r="B1340" s="12"/>
      <c r="C1340" s="12"/>
      <c r="D1340" s="13"/>
      <c r="E1340" s="78"/>
      <c r="F1340" s="15"/>
      <c r="G1340" s="26"/>
      <c r="H1340" s="12" t="b">
        <v>0</v>
      </c>
      <c r="I1340" s="28"/>
      <c r="J1340" s="12" t="b">
        <v>0</v>
      </c>
    </row>
    <row r="1341">
      <c r="A1341" s="12"/>
      <c r="B1341" s="12"/>
      <c r="C1341" s="12"/>
      <c r="D1341" s="13"/>
      <c r="E1341" s="78"/>
      <c r="F1341" s="15"/>
      <c r="G1341" s="26"/>
      <c r="H1341" s="12" t="b">
        <v>0</v>
      </c>
      <c r="I1341" s="28"/>
      <c r="J1341" s="12" t="b">
        <v>0</v>
      </c>
    </row>
    <row r="1342">
      <c r="A1342" s="12"/>
      <c r="B1342" s="12"/>
      <c r="C1342" s="12"/>
      <c r="D1342" s="13"/>
      <c r="E1342" s="78"/>
      <c r="F1342" s="15"/>
      <c r="G1342" s="26"/>
      <c r="H1342" s="12" t="b">
        <v>0</v>
      </c>
      <c r="I1342" s="28"/>
      <c r="J1342" s="12" t="b">
        <v>0</v>
      </c>
    </row>
    <row r="1343">
      <c r="A1343" s="12"/>
      <c r="B1343" s="12"/>
      <c r="C1343" s="12"/>
      <c r="D1343" s="13"/>
      <c r="E1343" s="78"/>
      <c r="F1343" s="15"/>
      <c r="G1343" s="26"/>
      <c r="H1343" s="12" t="b">
        <v>0</v>
      </c>
      <c r="I1343" s="28"/>
      <c r="J1343" s="12" t="b">
        <v>0</v>
      </c>
    </row>
    <row r="1344">
      <c r="A1344" s="12"/>
      <c r="B1344" s="12"/>
      <c r="C1344" s="12"/>
      <c r="D1344" s="13"/>
      <c r="E1344" s="78"/>
      <c r="F1344" s="15"/>
      <c r="G1344" s="26"/>
      <c r="H1344" s="12" t="b">
        <v>0</v>
      </c>
      <c r="I1344" s="28"/>
      <c r="J1344" s="12" t="b">
        <v>0</v>
      </c>
    </row>
    <row r="1345">
      <c r="A1345" s="12"/>
      <c r="B1345" s="12"/>
      <c r="C1345" s="12"/>
      <c r="D1345" s="13"/>
      <c r="E1345" s="78"/>
      <c r="F1345" s="15"/>
      <c r="G1345" s="26"/>
      <c r="H1345" s="12" t="b">
        <v>0</v>
      </c>
      <c r="I1345" s="28"/>
      <c r="J1345" s="12" t="b">
        <v>0</v>
      </c>
    </row>
    <row r="1346">
      <c r="A1346" s="12"/>
      <c r="B1346" s="12"/>
      <c r="C1346" s="12"/>
      <c r="D1346" s="13"/>
      <c r="E1346" s="78"/>
      <c r="F1346" s="15"/>
      <c r="G1346" s="26"/>
      <c r="H1346" s="12" t="b">
        <v>0</v>
      </c>
      <c r="I1346" s="28"/>
      <c r="J1346" s="12" t="b">
        <v>0</v>
      </c>
    </row>
    <row r="1347">
      <c r="A1347" s="12"/>
      <c r="B1347" s="12"/>
      <c r="C1347" s="12"/>
      <c r="D1347" s="13"/>
      <c r="E1347" s="78"/>
      <c r="F1347" s="15"/>
      <c r="G1347" s="26"/>
      <c r="H1347" s="12" t="b">
        <v>0</v>
      </c>
      <c r="I1347" s="28"/>
      <c r="J1347" s="12" t="b">
        <v>0</v>
      </c>
    </row>
    <row r="1348">
      <c r="A1348" s="12"/>
      <c r="B1348" s="12"/>
      <c r="C1348" s="12"/>
      <c r="D1348" s="13"/>
      <c r="E1348" s="78"/>
      <c r="F1348" s="15"/>
      <c r="G1348" s="26"/>
      <c r="H1348" s="12" t="b">
        <v>0</v>
      </c>
      <c r="I1348" s="28"/>
      <c r="J1348" s="12" t="b">
        <v>0</v>
      </c>
    </row>
    <row r="1349">
      <c r="A1349" s="12"/>
      <c r="B1349" s="12"/>
      <c r="C1349" s="12"/>
      <c r="D1349" s="13"/>
      <c r="E1349" s="78"/>
      <c r="F1349" s="15"/>
      <c r="G1349" s="26"/>
      <c r="H1349" s="12" t="b">
        <v>0</v>
      </c>
      <c r="I1349" s="28"/>
      <c r="J1349" s="12" t="b">
        <v>0</v>
      </c>
    </row>
    <row r="1350">
      <c r="A1350" s="12"/>
      <c r="B1350" s="12"/>
      <c r="C1350" s="12"/>
      <c r="D1350" s="13"/>
      <c r="E1350" s="78"/>
      <c r="F1350" s="15"/>
      <c r="G1350" s="26"/>
      <c r="H1350" s="12" t="b">
        <v>0</v>
      </c>
      <c r="I1350" s="28"/>
      <c r="J1350" s="12" t="b">
        <v>0</v>
      </c>
    </row>
    <row r="1351">
      <c r="A1351" s="12"/>
      <c r="B1351" s="12"/>
      <c r="C1351" s="12"/>
      <c r="D1351" s="13"/>
      <c r="E1351" s="78"/>
      <c r="F1351" s="15"/>
      <c r="G1351" s="26"/>
      <c r="H1351" s="12" t="b">
        <v>0</v>
      </c>
      <c r="I1351" s="28"/>
      <c r="J1351" s="12" t="b">
        <v>0</v>
      </c>
    </row>
    <row r="1352">
      <c r="A1352" s="12"/>
      <c r="B1352" s="12"/>
      <c r="C1352" s="12"/>
      <c r="D1352" s="13"/>
      <c r="E1352" s="78"/>
      <c r="F1352" s="15"/>
      <c r="G1352" s="26"/>
      <c r="H1352" s="12" t="b">
        <v>0</v>
      </c>
      <c r="I1352" s="28"/>
      <c r="J1352" s="12" t="b">
        <v>0</v>
      </c>
    </row>
    <row r="1353">
      <c r="A1353" s="12"/>
      <c r="B1353" s="12"/>
      <c r="C1353" s="12"/>
      <c r="D1353" s="13"/>
      <c r="E1353" s="78"/>
      <c r="F1353" s="15"/>
      <c r="G1353" s="26"/>
      <c r="H1353" s="12" t="b">
        <v>0</v>
      </c>
      <c r="I1353" s="28"/>
      <c r="J1353" s="12" t="b">
        <v>0</v>
      </c>
    </row>
    <row r="1354">
      <c r="A1354" s="12"/>
      <c r="B1354" s="12"/>
      <c r="C1354" s="12"/>
      <c r="D1354" s="13"/>
      <c r="E1354" s="78"/>
      <c r="F1354" s="15"/>
      <c r="G1354" s="26"/>
      <c r="H1354" s="12" t="b">
        <v>0</v>
      </c>
      <c r="I1354" s="28"/>
      <c r="J1354" s="12" t="b">
        <v>0</v>
      </c>
    </row>
    <row r="1355">
      <c r="A1355" s="12"/>
      <c r="B1355" s="12"/>
      <c r="C1355" s="12"/>
      <c r="D1355" s="13"/>
      <c r="E1355" s="78"/>
      <c r="F1355" s="15"/>
      <c r="G1355" s="26"/>
      <c r="H1355" s="12" t="b">
        <v>0</v>
      </c>
      <c r="I1355" s="28"/>
      <c r="J1355" s="12" t="b">
        <v>0</v>
      </c>
    </row>
    <row r="1356">
      <c r="A1356" s="12"/>
      <c r="B1356" s="12"/>
      <c r="C1356" s="12"/>
      <c r="D1356" s="13"/>
      <c r="E1356" s="78"/>
      <c r="F1356" s="15"/>
      <c r="G1356" s="26"/>
      <c r="H1356" s="12" t="b">
        <v>0</v>
      </c>
      <c r="I1356" s="28"/>
      <c r="J1356" s="12" t="b">
        <v>0</v>
      </c>
    </row>
    <row r="1357">
      <c r="A1357" s="12"/>
      <c r="B1357" s="12"/>
      <c r="C1357" s="12"/>
      <c r="D1357" s="13"/>
      <c r="E1357" s="78"/>
      <c r="F1357" s="15"/>
      <c r="G1357" s="26"/>
      <c r="H1357" s="12" t="b">
        <v>0</v>
      </c>
      <c r="I1357" s="28"/>
      <c r="J1357" s="12" t="b">
        <v>0</v>
      </c>
    </row>
    <row r="1358">
      <c r="A1358" s="12"/>
      <c r="B1358" s="12"/>
      <c r="C1358" s="12"/>
      <c r="D1358" s="13"/>
      <c r="E1358" s="78"/>
      <c r="F1358" s="15"/>
      <c r="G1358" s="26"/>
      <c r="H1358" s="12" t="b">
        <v>0</v>
      </c>
      <c r="I1358" s="28"/>
      <c r="J1358" s="12" t="b">
        <v>0</v>
      </c>
    </row>
    <row r="1359">
      <c r="A1359" s="12"/>
      <c r="B1359" s="12"/>
      <c r="C1359" s="12"/>
      <c r="D1359" s="13"/>
      <c r="E1359" s="78"/>
      <c r="F1359" s="15"/>
      <c r="G1359" s="26"/>
      <c r="H1359" s="12" t="b">
        <v>0</v>
      </c>
      <c r="I1359" s="28"/>
      <c r="J1359" s="12" t="b">
        <v>0</v>
      </c>
    </row>
    <row r="1360">
      <c r="A1360" s="12"/>
      <c r="B1360" s="12"/>
      <c r="C1360" s="12"/>
      <c r="D1360" s="13"/>
      <c r="E1360" s="78"/>
      <c r="F1360" s="15"/>
      <c r="G1360" s="26"/>
      <c r="H1360" s="12" t="b">
        <v>0</v>
      </c>
      <c r="I1360" s="28"/>
      <c r="J1360" s="12" t="b">
        <v>0</v>
      </c>
    </row>
    <row r="1361">
      <c r="A1361" s="12"/>
      <c r="B1361" s="12"/>
      <c r="C1361" s="12"/>
      <c r="D1361" s="13"/>
      <c r="E1361" s="78"/>
      <c r="F1361" s="15"/>
      <c r="G1361" s="26"/>
      <c r="H1361" s="12" t="b">
        <v>0</v>
      </c>
      <c r="I1361" s="28"/>
      <c r="J1361" s="12" t="b">
        <v>0</v>
      </c>
    </row>
    <row r="1362">
      <c r="A1362" s="12"/>
      <c r="B1362" s="12"/>
      <c r="C1362" s="12"/>
      <c r="D1362" s="13"/>
      <c r="E1362" s="78"/>
      <c r="F1362" s="15"/>
      <c r="G1362" s="26"/>
      <c r="H1362" s="12" t="b">
        <v>0</v>
      </c>
      <c r="I1362" s="28"/>
      <c r="J1362" s="12" t="b">
        <v>0</v>
      </c>
    </row>
    <row r="1363">
      <c r="A1363" s="12"/>
      <c r="B1363" s="12"/>
      <c r="C1363" s="12"/>
      <c r="D1363" s="13"/>
      <c r="E1363" s="78"/>
      <c r="F1363" s="15"/>
      <c r="G1363" s="26"/>
      <c r="H1363" s="12" t="b">
        <v>0</v>
      </c>
      <c r="I1363" s="28"/>
      <c r="J1363" s="12" t="b">
        <v>0</v>
      </c>
    </row>
    <row r="1364">
      <c r="A1364" s="12"/>
      <c r="B1364" s="12"/>
      <c r="C1364" s="12"/>
      <c r="D1364" s="13"/>
      <c r="E1364" s="78"/>
      <c r="F1364" s="15"/>
      <c r="G1364" s="26"/>
      <c r="H1364" s="12" t="b">
        <v>0</v>
      </c>
      <c r="I1364" s="28"/>
      <c r="J1364" s="12" t="b">
        <v>0</v>
      </c>
    </row>
  </sheetData>
  <autoFilter ref="$A$1:$N$369">
    <sortState ref="A1:N369">
      <sortCondition ref="B1:B369"/>
      <sortCondition ref="C1:C369"/>
      <sortCondition ref="D1:D369"/>
      <sortCondition ref="E1:E369"/>
      <sortCondition ref="A1:A369"/>
      <sortCondition ref="I1:I369"/>
    </sortState>
  </autoFilter>
  <hyperlinks>
    <hyperlink r:id="rId1" ref="I2"/>
    <hyperlink r:id="rId2" ref="I4"/>
    <hyperlink r:id="rId3" ref="I5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3"/>
    <hyperlink r:id="rId12" ref="I14"/>
    <hyperlink r:id="rId13" ref="I15"/>
    <hyperlink r:id="rId14" ref="I16"/>
    <hyperlink r:id="rId15" ref="I17"/>
    <hyperlink r:id="rId16" ref="I18"/>
    <hyperlink r:id="rId17" ref="I22"/>
    <hyperlink r:id="rId18" ref="I23"/>
    <hyperlink r:id="rId19" ref="I24"/>
    <hyperlink r:id="rId20" ref="I25"/>
    <hyperlink r:id="rId21" ref="I26"/>
    <hyperlink r:id="rId22" ref="I28"/>
    <hyperlink r:id="rId23" ref="I30"/>
    <hyperlink r:id="rId24" ref="I31"/>
    <hyperlink r:id="rId25" ref="I32"/>
    <hyperlink r:id="rId26" ref="I33"/>
    <hyperlink r:id="rId27" ref="I34"/>
    <hyperlink r:id="rId28" ref="I36"/>
    <hyperlink r:id="rId29" ref="I37"/>
    <hyperlink r:id="rId30" ref="I38"/>
    <hyperlink r:id="rId31" ref="I39"/>
    <hyperlink r:id="rId32" ref="I40"/>
    <hyperlink r:id="rId33" ref="I42"/>
    <hyperlink r:id="rId34" ref="I43"/>
    <hyperlink r:id="rId35" ref="I44"/>
    <hyperlink r:id="rId36" ref="I46"/>
    <hyperlink r:id="rId37" ref="I47"/>
    <hyperlink r:id="rId38" ref="I48"/>
    <hyperlink r:id="rId39" ref="I50"/>
    <hyperlink r:id="rId40" ref="I51"/>
    <hyperlink r:id="rId41" ref="I52"/>
    <hyperlink r:id="rId42" ref="I56"/>
    <hyperlink r:id="rId43" ref="I57"/>
    <hyperlink r:id="rId44" ref="I58"/>
    <hyperlink r:id="rId45" ref="I59"/>
    <hyperlink r:id="rId46" ref="I60"/>
    <hyperlink r:id="rId47" ref="I61"/>
    <hyperlink r:id="rId48" ref="I62"/>
    <hyperlink r:id="rId49" ref="I65"/>
    <hyperlink r:id="rId50" ref="I66"/>
    <hyperlink r:id="rId51" ref="I70"/>
    <hyperlink r:id="rId52" ref="I71"/>
    <hyperlink r:id="rId53" ref="I73"/>
    <hyperlink r:id="rId54" ref="I74"/>
    <hyperlink r:id="rId55" ref="I76"/>
    <hyperlink r:id="rId56" ref="I77"/>
    <hyperlink r:id="rId57" ref="I79"/>
    <hyperlink r:id="rId58" ref="I80"/>
    <hyperlink r:id="rId59" ref="I83"/>
    <hyperlink r:id="rId60" ref="I84"/>
    <hyperlink r:id="rId61" ref="I85"/>
    <hyperlink r:id="rId62" ref="I87"/>
    <hyperlink r:id="rId63" ref="I88"/>
    <hyperlink r:id="rId64" ref="I89"/>
    <hyperlink r:id="rId65" ref="I91"/>
    <hyperlink r:id="rId66" ref="I92"/>
    <hyperlink r:id="rId67" ref="I93"/>
    <hyperlink r:id="rId68" ref="I94"/>
    <hyperlink r:id="rId69" ref="I95"/>
    <hyperlink r:id="rId70" ref="I96"/>
    <hyperlink r:id="rId71" ref="I97"/>
    <hyperlink r:id="rId72" ref="I98"/>
    <hyperlink r:id="rId73" ref="I99"/>
    <hyperlink r:id="rId74" ref="I100"/>
    <hyperlink r:id="rId75" ref="I101"/>
    <hyperlink r:id="rId76" ref="I102"/>
    <hyperlink r:id="rId77" ref="I103"/>
    <hyperlink r:id="rId78" ref="I105"/>
    <hyperlink r:id="rId79" ref="I106"/>
    <hyperlink r:id="rId80" ref="I108"/>
    <hyperlink r:id="rId81" ref="I109"/>
    <hyperlink r:id="rId82" ref="I111"/>
    <hyperlink r:id="rId83" ref="I114"/>
    <hyperlink r:id="rId84" ref="I115"/>
    <hyperlink r:id="rId85" ref="I116"/>
    <hyperlink r:id="rId86" ref="I117"/>
    <hyperlink r:id="rId87" ref="I119"/>
    <hyperlink r:id="rId88" ref="I120"/>
    <hyperlink r:id="rId89" ref="I121"/>
    <hyperlink r:id="rId90" ref="I122"/>
    <hyperlink r:id="rId91" ref="I123"/>
    <hyperlink r:id="rId92" ref="I124"/>
    <hyperlink r:id="rId93" ref="I125"/>
    <hyperlink r:id="rId94" ref="I126"/>
    <hyperlink r:id="rId95" ref="I127"/>
    <hyperlink r:id="rId96" ref="I128"/>
    <hyperlink r:id="rId97" ref="I129"/>
    <hyperlink r:id="rId98" ref="I130"/>
    <hyperlink r:id="rId99" ref="I131"/>
    <hyperlink r:id="rId100" ref="I132"/>
    <hyperlink r:id="rId101" ref="I134"/>
    <hyperlink r:id="rId102" ref="I136"/>
    <hyperlink r:id="rId103" ref="I137"/>
    <hyperlink r:id="rId104" ref="I138"/>
    <hyperlink r:id="rId105" ref="I139"/>
    <hyperlink r:id="rId106" ref="I140"/>
    <hyperlink r:id="rId107" ref="I142"/>
    <hyperlink r:id="rId108" ref="I143"/>
    <hyperlink r:id="rId109" ref="I144"/>
    <hyperlink r:id="rId110" ref="I145"/>
    <hyperlink r:id="rId111" ref="I147"/>
    <hyperlink r:id="rId112" ref="I148"/>
    <hyperlink r:id="rId113" ref="I149"/>
    <hyperlink r:id="rId114" ref="I150"/>
    <hyperlink r:id="rId115" ref="I157"/>
    <hyperlink r:id="rId116" ref="I160"/>
    <hyperlink r:id="rId117" ref="I162"/>
    <hyperlink r:id="rId118" ref="I165"/>
    <hyperlink r:id="rId119" ref="I166"/>
    <hyperlink r:id="rId120" ref="I167"/>
    <hyperlink r:id="rId121" ref="I169"/>
    <hyperlink r:id="rId122" ref="I171"/>
    <hyperlink r:id="rId123" ref="I172"/>
    <hyperlink r:id="rId124" ref="I174"/>
    <hyperlink r:id="rId125" ref="I175"/>
    <hyperlink r:id="rId126" ref="I176"/>
    <hyperlink r:id="rId127" ref="I177"/>
    <hyperlink r:id="rId128" ref="I178"/>
    <hyperlink r:id="rId129" ref="I179"/>
    <hyperlink r:id="rId130" ref="I180"/>
    <hyperlink r:id="rId131" ref="I181"/>
    <hyperlink r:id="rId132" ref="I182"/>
    <hyperlink r:id="rId133" ref="I183"/>
    <hyperlink r:id="rId134" ref="I184"/>
    <hyperlink r:id="rId135" ref="I185"/>
    <hyperlink r:id="rId136" ref="I186"/>
    <hyperlink r:id="rId137" ref="I187"/>
    <hyperlink r:id="rId138" ref="I188"/>
    <hyperlink r:id="rId139" ref="I189"/>
    <hyperlink r:id="rId140" ref="I192"/>
    <hyperlink r:id="rId141" ref="I193"/>
    <hyperlink r:id="rId142" ref="I195"/>
    <hyperlink r:id="rId143" ref="I197"/>
    <hyperlink r:id="rId144" ref="I198"/>
    <hyperlink r:id="rId145" ref="I199"/>
    <hyperlink r:id="rId146" ref="I200"/>
    <hyperlink r:id="rId147" ref="I202"/>
    <hyperlink r:id="rId148" ref="I203"/>
    <hyperlink r:id="rId149" ref="I205"/>
    <hyperlink r:id="rId150" ref="I206"/>
    <hyperlink r:id="rId151" ref="I207"/>
    <hyperlink r:id="rId152" ref="I210"/>
    <hyperlink r:id="rId153" ref="I215"/>
    <hyperlink r:id="rId154" ref="I217"/>
    <hyperlink r:id="rId155" ref="I218"/>
    <hyperlink r:id="rId156" ref="I219"/>
    <hyperlink r:id="rId157" ref="I221"/>
    <hyperlink r:id="rId158" ref="I223"/>
    <hyperlink r:id="rId159" ref="I225"/>
    <hyperlink r:id="rId160" ref="I226"/>
    <hyperlink r:id="rId161" ref="I229"/>
    <hyperlink r:id="rId162" ref="I234"/>
    <hyperlink r:id="rId163" ref="I237"/>
    <hyperlink r:id="rId164" ref="I239"/>
    <hyperlink r:id="rId165" ref="I243"/>
    <hyperlink r:id="rId166" ref="I244"/>
    <hyperlink r:id="rId167" ref="I245"/>
    <hyperlink r:id="rId168" ref="I247"/>
    <hyperlink r:id="rId169" ref="I249"/>
    <hyperlink r:id="rId170" ref="I250"/>
    <hyperlink r:id="rId171" ref="I255"/>
    <hyperlink r:id="rId172" ref="I256"/>
    <hyperlink r:id="rId173" ref="I257"/>
    <hyperlink r:id="rId174" ref="I258"/>
    <hyperlink r:id="rId175" ref="I259"/>
    <hyperlink r:id="rId176" ref="I261"/>
    <hyperlink r:id="rId177" ref="I263"/>
    <hyperlink r:id="rId178" ref="I268"/>
    <hyperlink r:id="rId179" ref="I271"/>
    <hyperlink r:id="rId180" ref="I273"/>
    <hyperlink r:id="rId181" ref="I280"/>
    <hyperlink r:id="rId182" ref="I307"/>
    <hyperlink r:id="rId183" ref="I309"/>
    <hyperlink r:id="rId184" ref="I310"/>
    <hyperlink r:id="rId185" ref="I311"/>
    <hyperlink r:id="rId186" ref="I313"/>
    <hyperlink r:id="rId187" ref="I314"/>
    <hyperlink r:id="rId188" ref="I315"/>
    <hyperlink r:id="rId189" ref="I318"/>
    <hyperlink r:id="rId190" ref="I319"/>
    <hyperlink r:id="rId191" ref="I320"/>
    <hyperlink r:id="rId192" ref="I321"/>
    <hyperlink r:id="rId193" ref="I324"/>
    <hyperlink r:id="rId194" ref="I325"/>
    <hyperlink r:id="rId195" ref="I327"/>
    <hyperlink r:id="rId196" ref="I328"/>
    <hyperlink r:id="rId197" ref="I329"/>
    <hyperlink r:id="rId198" ref="I332"/>
    <hyperlink r:id="rId199" ref="I335"/>
    <hyperlink r:id="rId200" ref="I336"/>
    <hyperlink r:id="rId201" ref="I337"/>
    <hyperlink r:id="rId202" ref="I339"/>
    <hyperlink r:id="rId203" ref="I340"/>
    <hyperlink r:id="rId204" ref="I347"/>
    <hyperlink r:id="rId205" ref="I349"/>
    <hyperlink r:id="rId206" ref="I350"/>
    <hyperlink r:id="rId207" ref="I362"/>
    <hyperlink r:id="rId208" ref="I363"/>
    <hyperlink r:id="rId209" ref="I364"/>
    <hyperlink r:id="rId210" ref="I365"/>
    <hyperlink r:id="rId211" ref="I391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 outlineLevelRow="1"/>
  <cols>
    <col customWidth="1" min="1" max="2" width="5.0"/>
    <col customWidth="1" min="3" max="3" width="43.38"/>
    <col customWidth="1" min="4" max="4" width="10.0"/>
    <col customWidth="1" min="7" max="7" width="4.38"/>
    <col customWidth="1" min="8" max="8" width="9.63"/>
    <col customWidth="1" min="9" max="9" width="9.75"/>
    <col customWidth="1" min="10" max="10" width="10.38"/>
    <col customWidth="1" min="12" max="12" width="0.38"/>
  </cols>
  <sheetData>
    <row r="1" outlineLevel="1">
      <c r="A1" s="87" t="s">
        <v>774</v>
      </c>
      <c r="B1" s="88"/>
      <c r="C1" s="88"/>
      <c r="D1" s="88"/>
      <c r="E1" s="88"/>
      <c r="F1" s="88"/>
      <c r="G1" s="88"/>
      <c r="H1" s="88"/>
      <c r="I1" s="88"/>
      <c r="J1" s="89"/>
    </row>
    <row r="2" outlineLevel="1">
      <c r="A2" s="90" t="s">
        <v>775</v>
      </c>
      <c r="B2" s="91" t="s">
        <v>776</v>
      </c>
      <c r="C2" s="92" t="s">
        <v>777</v>
      </c>
      <c r="D2" s="93" t="s">
        <v>778</v>
      </c>
      <c r="E2" s="91" t="s">
        <v>779</v>
      </c>
      <c r="F2" s="91" t="s">
        <v>780</v>
      </c>
      <c r="G2" s="94" t="s">
        <v>781</v>
      </c>
      <c r="H2" s="95" t="s">
        <v>782</v>
      </c>
      <c r="I2" s="96" t="s">
        <v>783</v>
      </c>
      <c r="J2" s="97" t="s">
        <v>784</v>
      </c>
    </row>
    <row r="3">
      <c r="D3" s="98"/>
      <c r="I3" s="99"/>
    </row>
    <row r="4" ht="15.75" customHeight="1">
      <c r="A4" s="100"/>
      <c r="B4" s="101"/>
      <c r="C4" s="102"/>
      <c r="D4" s="103"/>
      <c r="E4" s="104"/>
      <c r="F4" s="105"/>
      <c r="G4" s="106"/>
      <c r="H4" s="107"/>
      <c r="I4" s="108"/>
      <c r="J4" s="109"/>
    </row>
    <row r="5" ht="25.5" customHeight="1">
      <c r="A5" s="110">
        <v>2026.0</v>
      </c>
      <c r="B5" s="111"/>
      <c r="C5" s="111"/>
      <c r="D5" s="111"/>
      <c r="E5" s="111"/>
      <c r="F5" s="111"/>
      <c r="G5" s="111"/>
      <c r="H5" s="111"/>
      <c r="I5" s="111"/>
      <c r="J5" s="112"/>
    </row>
    <row r="6" ht="15.75" customHeight="1">
      <c r="A6" s="113" t="s">
        <v>89</v>
      </c>
      <c r="B6" s="113"/>
      <c r="C6" s="114" t="s">
        <v>785</v>
      </c>
      <c r="D6" s="115">
        <v>1500.0</v>
      </c>
      <c r="E6" s="116">
        <v>0.1</v>
      </c>
      <c r="F6" s="117">
        <f t="shared" ref="F6:F20" si="1">D6*E6</f>
        <v>150</v>
      </c>
      <c r="G6" s="106" t="s">
        <v>786</v>
      </c>
      <c r="H6" s="118">
        <f t="shared" ref="H6:H20" si="2">F6*E6</f>
        <v>15</v>
      </c>
      <c r="I6" s="119">
        <f t="shared" ref="I6:I20" si="3">F6*E6</f>
        <v>15</v>
      </c>
      <c r="J6" s="120">
        <f t="shared" ref="J6:J20" si="4">F6-H6-I6</f>
        <v>120</v>
      </c>
    </row>
    <row r="7" ht="15.75" customHeight="1">
      <c r="A7" s="113" t="s">
        <v>89</v>
      </c>
      <c r="B7" s="121"/>
      <c r="C7" s="114" t="s">
        <v>787</v>
      </c>
      <c r="D7" s="115">
        <v>500.0</v>
      </c>
      <c r="E7" s="116">
        <v>0.1</v>
      </c>
      <c r="F7" s="117">
        <f t="shared" si="1"/>
        <v>50</v>
      </c>
      <c r="H7" s="118">
        <f t="shared" si="2"/>
        <v>5</v>
      </c>
      <c r="I7" s="119">
        <f t="shared" si="3"/>
        <v>5</v>
      </c>
      <c r="J7" s="120">
        <f t="shared" si="4"/>
        <v>40</v>
      </c>
    </row>
    <row r="8" ht="15.75" customHeight="1">
      <c r="A8" s="121"/>
      <c r="B8" s="113" t="s">
        <v>788</v>
      </c>
      <c r="C8" s="114" t="s">
        <v>789</v>
      </c>
      <c r="D8" s="115">
        <v>1000.0</v>
      </c>
      <c r="E8" s="116">
        <v>0.1</v>
      </c>
      <c r="F8" s="117">
        <f t="shared" si="1"/>
        <v>100</v>
      </c>
      <c r="H8" s="118">
        <f t="shared" si="2"/>
        <v>10</v>
      </c>
      <c r="I8" s="119">
        <f t="shared" si="3"/>
        <v>10</v>
      </c>
      <c r="J8" s="120">
        <f t="shared" si="4"/>
        <v>80</v>
      </c>
    </row>
    <row r="9" ht="15.75" customHeight="1">
      <c r="A9" s="113" t="s">
        <v>89</v>
      </c>
      <c r="B9" s="113" t="s">
        <v>790</v>
      </c>
      <c r="C9" s="114" t="s">
        <v>791</v>
      </c>
      <c r="D9" s="115">
        <v>1100.0</v>
      </c>
      <c r="E9" s="116">
        <v>0.1</v>
      </c>
      <c r="F9" s="117">
        <f t="shared" si="1"/>
        <v>110</v>
      </c>
      <c r="H9" s="118">
        <f t="shared" si="2"/>
        <v>11</v>
      </c>
      <c r="I9" s="119">
        <f t="shared" si="3"/>
        <v>11</v>
      </c>
      <c r="J9" s="120">
        <f t="shared" si="4"/>
        <v>88</v>
      </c>
    </row>
    <row r="10" ht="15.75" customHeight="1">
      <c r="A10" s="121"/>
      <c r="B10" s="113" t="s">
        <v>790</v>
      </c>
      <c r="C10" s="114" t="s">
        <v>792</v>
      </c>
      <c r="D10" s="115">
        <v>1500.0</v>
      </c>
      <c r="E10" s="116">
        <v>0.1</v>
      </c>
      <c r="F10" s="117">
        <f t="shared" si="1"/>
        <v>150</v>
      </c>
      <c r="H10" s="118">
        <f t="shared" si="2"/>
        <v>15</v>
      </c>
      <c r="I10" s="119">
        <f t="shared" si="3"/>
        <v>15</v>
      </c>
      <c r="J10" s="120">
        <f t="shared" si="4"/>
        <v>120</v>
      </c>
    </row>
    <row r="11" ht="15.75" customHeight="1">
      <c r="A11" s="122" t="s">
        <v>89</v>
      </c>
      <c r="B11" s="122" t="s">
        <v>790</v>
      </c>
      <c r="C11" s="123" t="s">
        <v>793</v>
      </c>
      <c r="D11" s="124">
        <v>1300.0</v>
      </c>
      <c r="E11" s="116">
        <v>0.1</v>
      </c>
      <c r="F11" s="117">
        <f t="shared" si="1"/>
        <v>130</v>
      </c>
      <c r="H11" s="118">
        <f t="shared" si="2"/>
        <v>13</v>
      </c>
      <c r="I11" s="119">
        <f t="shared" si="3"/>
        <v>13</v>
      </c>
      <c r="J11" s="120">
        <f t="shared" si="4"/>
        <v>104</v>
      </c>
    </row>
    <row r="12">
      <c r="A12" s="113" t="s">
        <v>89</v>
      </c>
      <c r="B12" s="113"/>
      <c r="C12" s="114" t="s">
        <v>794</v>
      </c>
      <c r="D12" s="115">
        <v>1700.0</v>
      </c>
      <c r="E12" s="116">
        <v>0.1</v>
      </c>
      <c r="F12" s="117">
        <f t="shared" si="1"/>
        <v>170</v>
      </c>
      <c r="H12" s="118">
        <f t="shared" si="2"/>
        <v>17</v>
      </c>
      <c r="I12" s="119">
        <f t="shared" si="3"/>
        <v>17</v>
      </c>
      <c r="J12" s="120">
        <f t="shared" si="4"/>
        <v>136</v>
      </c>
    </row>
    <row r="13">
      <c r="A13" s="113" t="s">
        <v>89</v>
      </c>
      <c r="B13" s="113" t="s">
        <v>795</v>
      </c>
      <c r="C13" s="114" t="s">
        <v>796</v>
      </c>
      <c r="D13" s="115">
        <v>700.0</v>
      </c>
      <c r="E13" s="116">
        <v>0.1</v>
      </c>
      <c r="F13" s="117">
        <f t="shared" si="1"/>
        <v>70</v>
      </c>
      <c r="H13" s="118">
        <f t="shared" si="2"/>
        <v>7</v>
      </c>
      <c r="I13" s="119">
        <f t="shared" si="3"/>
        <v>7</v>
      </c>
      <c r="J13" s="120">
        <f t="shared" si="4"/>
        <v>56</v>
      </c>
    </row>
    <row r="14">
      <c r="A14" s="113" t="s">
        <v>89</v>
      </c>
      <c r="B14" s="113" t="s">
        <v>790</v>
      </c>
      <c r="C14" s="114" t="s">
        <v>797</v>
      </c>
      <c r="D14" s="115">
        <v>1000.0</v>
      </c>
      <c r="E14" s="116">
        <v>0.1</v>
      </c>
      <c r="F14" s="117">
        <f t="shared" si="1"/>
        <v>100</v>
      </c>
      <c r="H14" s="118">
        <f t="shared" si="2"/>
        <v>10</v>
      </c>
      <c r="I14" s="119">
        <f t="shared" si="3"/>
        <v>10</v>
      </c>
      <c r="J14" s="120">
        <f t="shared" si="4"/>
        <v>80</v>
      </c>
    </row>
    <row r="15">
      <c r="A15" s="113" t="s">
        <v>89</v>
      </c>
      <c r="B15" s="113"/>
      <c r="C15" s="114" t="s">
        <v>798</v>
      </c>
      <c r="D15" s="115">
        <v>250.0</v>
      </c>
      <c r="E15" s="116">
        <v>0.1</v>
      </c>
      <c r="F15" s="117">
        <f t="shared" si="1"/>
        <v>25</v>
      </c>
      <c r="H15" s="118">
        <f t="shared" si="2"/>
        <v>2.5</v>
      </c>
      <c r="I15" s="119">
        <f t="shared" si="3"/>
        <v>2.5</v>
      </c>
      <c r="J15" s="120">
        <f t="shared" si="4"/>
        <v>20</v>
      </c>
    </row>
    <row r="16">
      <c r="A16" s="113" t="s">
        <v>89</v>
      </c>
      <c r="B16" s="113"/>
      <c r="C16" s="114" t="s">
        <v>799</v>
      </c>
      <c r="D16" s="115">
        <v>2300.0</v>
      </c>
      <c r="E16" s="116">
        <v>0.1</v>
      </c>
      <c r="F16" s="117">
        <f t="shared" si="1"/>
        <v>230</v>
      </c>
      <c r="H16" s="118">
        <f t="shared" si="2"/>
        <v>23</v>
      </c>
      <c r="I16" s="119">
        <f t="shared" si="3"/>
        <v>23</v>
      </c>
      <c r="J16" s="120">
        <f t="shared" si="4"/>
        <v>184</v>
      </c>
    </row>
    <row r="17">
      <c r="A17" s="121"/>
      <c r="B17" s="113"/>
      <c r="C17" s="114" t="s">
        <v>800</v>
      </c>
      <c r="D17" s="115">
        <v>2200.0</v>
      </c>
      <c r="E17" s="116">
        <v>0.1</v>
      </c>
      <c r="F17" s="117">
        <f t="shared" si="1"/>
        <v>220</v>
      </c>
      <c r="H17" s="118">
        <f t="shared" si="2"/>
        <v>22</v>
      </c>
      <c r="I17" s="119">
        <f t="shared" si="3"/>
        <v>22</v>
      </c>
      <c r="J17" s="120">
        <f t="shared" si="4"/>
        <v>176</v>
      </c>
    </row>
    <row r="18">
      <c r="A18" s="113" t="s">
        <v>89</v>
      </c>
      <c r="B18" s="113"/>
      <c r="C18" s="114" t="s">
        <v>801</v>
      </c>
      <c r="D18" s="115">
        <v>1650.0</v>
      </c>
      <c r="E18" s="116">
        <v>0.1</v>
      </c>
      <c r="F18" s="117">
        <f t="shared" si="1"/>
        <v>165</v>
      </c>
      <c r="H18" s="118">
        <f t="shared" si="2"/>
        <v>16.5</v>
      </c>
      <c r="I18" s="119">
        <f t="shared" si="3"/>
        <v>16.5</v>
      </c>
      <c r="J18" s="120">
        <f t="shared" si="4"/>
        <v>132</v>
      </c>
    </row>
    <row r="19">
      <c r="A19" s="113">
        <v>28.0</v>
      </c>
      <c r="B19" s="113" t="s">
        <v>788</v>
      </c>
      <c r="C19" s="114" t="s">
        <v>802</v>
      </c>
      <c r="D19" s="115">
        <v>102.0</v>
      </c>
      <c r="E19" s="116">
        <v>0.1</v>
      </c>
      <c r="F19" s="117">
        <f t="shared" si="1"/>
        <v>10.2</v>
      </c>
      <c r="H19" s="118">
        <f t="shared" si="2"/>
        <v>1.02</v>
      </c>
      <c r="I19" s="119">
        <f t="shared" si="3"/>
        <v>1.02</v>
      </c>
      <c r="J19" s="120">
        <f t="shared" si="4"/>
        <v>8.16</v>
      </c>
    </row>
    <row r="20">
      <c r="A20" s="121"/>
      <c r="B20" s="121"/>
      <c r="C20" s="114" t="s">
        <v>803</v>
      </c>
      <c r="D20" s="115">
        <v>2000.0</v>
      </c>
      <c r="E20" s="116">
        <v>0.1</v>
      </c>
      <c r="F20" s="117">
        <f t="shared" si="1"/>
        <v>200</v>
      </c>
      <c r="H20" s="118">
        <f t="shared" si="2"/>
        <v>20</v>
      </c>
      <c r="I20" s="119">
        <f t="shared" si="3"/>
        <v>20</v>
      </c>
      <c r="J20" s="120">
        <f t="shared" si="4"/>
        <v>160</v>
      </c>
    </row>
    <row r="21">
      <c r="A21" s="125"/>
      <c r="B21" s="126"/>
      <c r="C21" s="127" t="s">
        <v>804</v>
      </c>
      <c r="D21" s="128">
        <f>SUM(D6:D20)</f>
        <v>18802</v>
      </c>
      <c r="E21" s="129"/>
      <c r="F21" s="130">
        <f>SUM(F6:F20)</f>
        <v>1880.2</v>
      </c>
      <c r="G21" s="131"/>
      <c r="H21" s="132">
        <f t="shared" ref="H21:J21" si="5">SUM(H6:H20)</f>
        <v>188.02</v>
      </c>
      <c r="I21" s="133">
        <f t="shared" si="5"/>
        <v>188.02</v>
      </c>
      <c r="J21" s="134">
        <f t="shared" si="5"/>
        <v>1504.16</v>
      </c>
    </row>
    <row r="22">
      <c r="A22" s="113">
        <v>6.0</v>
      </c>
      <c r="B22" s="113" t="s">
        <v>790</v>
      </c>
      <c r="C22" s="114" t="s">
        <v>805</v>
      </c>
      <c r="D22" s="115">
        <v>1300.0</v>
      </c>
      <c r="E22" s="116">
        <v>0.1</v>
      </c>
      <c r="F22" s="117">
        <f t="shared" ref="F22:F31" si="6">D22*E22</f>
        <v>130</v>
      </c>
      <c r="G22" s="135" t="s">
        <v>806</v>
      </c>
      <c r="H22" s="118">
        <f t="shared" ref="H22:H31" si="7">F22*E22</f>
        <v>13</v>
      </c>
      <c r="I22" s="119">
        <f t="shared" ref="I22:I31" si="8">F22*E22</f>
        <v>13</v>
      </c>
      <c r="J22" s="120">
        <f t="shared" ref="J22:J31" si="9">F22-H22-I22</f>
        <v>104</v>
      </c>
    </row>
    <row r="23">
      <c r="A23" s="113">
        <v>11.0</v>
      </c>
      <c r="B23" s="113" t="s">
        <v>788</v>
      </c>
      <c r="C23" s="114" t="s">
        <v>807</v>
      </c>
      <c r="D23" s="115">
        <v>174.0</v>
      </c>
      <c r="E23" s="116">
        <v>0.1</v>
      </c>
      <c r="F23" s="117">
        <f t="shared" si="6"/>
        <v>17.4</v>
      </c>
      <c r="H23" s="118">
        <f t="shared" si="7"/>
        <v>1.74</v>
      </c>
      <c r="I23" s="119">
        <f t="shared" si="8"/>
        <v>1.74</v>
      </c>
      <c r="J23" s="120">
        <f t="shared" si="9"/>
        <v>13.92</v>
      </c>
    </row>
    <row r="24">
      <c r="A24" s="136">
        <v>13.0</v>
      </c>
      <c r="B24" s="122" t="s">
        <v>790</v>
      </c>
      <c r="C24" s="123" t="s">
        <v>808</v>
      </c>
      <c r="D24" s="137">
        <v>2900.0</v>
      </c>
      <c r="E24" s="116">
        <v>0.1</v>
      </c>
      <c r="F24" s="117">
        <f t="shared" si="6"/>
        <v>290</v>
      </c>
      <c r="H24" s="118">
        <f t="shared" si="7"/>
        <v>29</v>
      </c>
      <c r="I24" s="119">
        <f t="shared" si="8"/>
        <v>29</v>
      </c>
      <c r="J24" s="120">
        <f t="shared" si="9"/>
        <v>232</v>
      </c>
    </row>
    <row r="25">
      <c r="A25" s="121"/>
      <c r="B25" s="113" t="s">
        <v>790</v>
      </c>
      <c r="C25" s="114" t="s">
        <v>809</v>
      </c>
      <c r="D25" s="115">
        <v>1500.0</v>
      </c>
      <c r="E25" s="116">
        <v>0.1</v>
      </c>
      <c r="F25" s="117">
        <f t="shared" si="6"/>
        <v>150</v>
      </c>
      <c r="H25" s="118">
        <f t="shared" si="7"/>
        <v>15</v>
      </c>
      <c r="I25" s="119">
        <f t="shared" si="8"/>
        <v>15</v>
      </c>
      <c r="J25" s="120">
        <f t="shared" si="9"/>
        <v>120</v>
      </c>
    </row>
    <row r="26">
      <c r="A26" s="121"/>
      <c r="B26" s="121"/>
      <c r="C26" s="114" t="s">
        <v>810</v>
      </c>
      <c r="D26" s="115">
        <v>112.0</v>
      </c>
      <c r="E26" s="116">
        <v>0.1</v>
      </c>
      <c r="F26" s="117">
        <f t="shared" si="6"/>
        <v>11.2</v>
      </c>
      <c r="H26" s="118">
        <f t="shared" si="7"/>
        <v>1.12</v>
      </c>
      <c r="I26" s="119">
        <f t="shared" si="8"/>
        <v>1.12</v>
      </c>
      <c r="J26" s="120">
        <f t="shared" si="9"/>
        <v>8.96</v>
      </c>
    </row>
    <row r="27">
      <c r="A27" s="121"/>
      <c r="B27" s="113" t="s">
        <v>790</v>
      </c>
      <c r="C27" s="114" t="s">
        <v>811</v>
      </c>
      <c r="D27" s="115">
        <v>850.0</v>
      </c>
      <c r="E27" s="116">
        <v>0.1</v>
      </c>
      <c r="F27" s="117">
        <f t="shared" si="6"/>
        <v>85</v>
      </c>
      <c r="H27" s="118">
        <f t="shared" si="7"/>
        <v>8.5</v>
      </c>
      <c r="I27" s="119">
        <f t="shared" si="8"/>
        <v>8.5</v>
      </c>
      <c r="J27" s="120">
        <f t="shared" si="9"/>
        <v>68</v>
      </c>
    </row>
    <row r="28">
      <c r="A28" s="121"/>
      <c r="B28" s="113" t="s">
        <v>790</v>
      </c>
      <c r="C28" s="114" t="s">
        <v>812</v>
      </c>
      <c r="D28" s="115">
        <v>850.0</v>
      </c>
      <c r="E28" s="116">
        <v>0.1</v>
      </c>
      <c r="F28" s="117">
        <f t="shared" si="6"/>
        <v>85</v>
      </c>
      <c r="H28" s="118">
        <f t="shared" si="7"/>
        <v>8.5</v>
      </c>
      <c r="I28" s="119">
        <f t="shared" si="8"/>
        <v>8.5</v>
      </c>
      <c r="J28" s="120">
        <f t="shared" si="9"/>
        <v>68</v>
      </c>
    </row>
    <row r="29">
      <c r="A29" s="121"/>
      <c r="B29" s="113" t="s">
        <v>790</v>
      </c>
      <c r="C29" s="114" t="s">
        <v>813</v>
      </c>
      <c r="D29" s="115">
        <v>140.0</v>
      </c>
      <c r="E29" s="116">
        <v>0.1</v>
      </c>
      <c r="F29" s="117">
        <f t="shared" si="6"/>
        <v>14</v>
      </c>
      <c r="H29" s="118">
        <f t="shared" si="7"/>
        <v>1.4</v>
      </c>
      <c r="I29" s="119">
        <f t="shared" si="8"/>
        <v>1.4</v>
      </c>
      <c r="J29" s="120">
        <f t="shared" si="9"/>
        <v>11.2</v>
      </c>
    </row>
    <row r="30">
      <c r="A30" s="121"/>
      <c r="B30" s="121"/>
      <c r="C30" s="114" t="s">
        <v>661</v>
      </c>
      <c r="D30" s="115">
        <v>140.0</v>
      </c>
      <c r="E30" s="116">
        <v>0.1</v>
      </c>
      <c r="F30" s="117">
        <f t="shared" si="6"/>
        <v>14</v>
      </c>
      <c r="H30" s="118">
        <f t="shared" si="7"/>
        <v>1.4</v>
      </c>
      <c r="I30" s="119">
        <f t="shared" si="8"/>
        <v>1.4</v>
      </c>
      <c r="J30" s="120">
        <f t="shared" si="9"/>
        <v>11.2</v>
      </c>
    </row>
    <row r="31">
      <c r="A31" s="121"/>
      <c r="B31" s="121"/>
      <c r="C31" s="114" t="s">
        <v>814</v>
      </c>
      <c r="D31" s="115">
        <v>6500.0</v>
      </c>
      <c r="E31" s="116">
        <v>0.1</v>
      </c>
      <c r="F31" s="117">
        <f t="shared" si="6"/>
        <v>650</v>
      </c>
      <c r="H31" s="118">
        <f t="shared" si="7"/>
        <v>65</v>
      </c>
      <c r="I31" s="119">
        <f t="shared" si="8"/>
        <v>65</v>
      </c>
      <c r="J31" s="120">
        <f t="shared" si="9"/>
        <v>520</v>
      </c>
    </row>
    <row r="32">
      <c r="A32" s="125"/>
      <c r="B32" s="126"/>
      <c r="C32" s="127" t="s">
        <v>804</v>
      </c>
      <c r="D32" s="128">
        <f>SUM(D22:D31)</f>
        <v>14466</v>
      </c>
      <c r="E32" s="129"/>
      <c r="F32" s="130">
        <f>SUM(F22:F31)</f>
        <v>1446.6</v>
      </c>
      <c r="G32" s="131"/>
      <c r="H32" s="132">
        <f t="shared" ref="H32:J32" si="10">SUM(H22:H31)</f>
        <v>144.66</v>
      </c>
      <c r="I32" s="133">
        <f t="shared" si="10"/>
        <v>144.66</v>
      </c>
      <c r="J32" s="134">
        <f t="shared" si="10"/>
        <v>1157.28</v>
      </c>
    </row>
    <row r="33">
      <c r="A33" s="113">
        <v>2.0</v>
      </c>
      <c r="B33" s="113" t="s">
        <v>790</v>
      </c>
      <c r="C33" s="13" t="s">
        <v>815</v>
      </c>
      <c r="D33" s="115">
        <v>1200.0</v>
      </c>
      <c r="E33" s="116">
        <v>0.1</v>
      </c>
      <c r="F33" s="117">
        <f t="shared" ref="F33:F51" si="11">D33*E33</f>
        <v>120</v>
      </c>
      <c r="G33" s="135" t="s">
        <v>816</v>
      </c>
      <c r="H33" s="118">
        <f t="shared" ref="H33:H51" si="12">F33*E33</f>
        <v>12</v>
      </c>
      <c r="I33" s="119">
        <f t="shared" ref="I33:I51" si="13">F33*E33</f>
        <v>12</v>
      </c>
      <c r="J33" s="120">
        <f t="shared" ref="J33:J51" si="14">F33-H33-I33</f>
        <v>96</v>
      </c>
    </row>
    <row r="34">
      <c r="A34" s="121"/>
      <c r="B34" s="113" t="s">
        <v>788</v>
      </c>
      <c r="C34" s="13" t="s">
        <v>817</v>
      </c>
      <c r="D34" s="115">
        <v>400.0</v>
      </c>
      <c r="E34" s="116">
        <v>0.1</v>
      </c>
      <c r="F34" s="117">
        <f t="shared" si="11"/>
        <v>40</v>
      </c>
      <c r="H34" s="118">
        <f t="shared" si="12"/>
        <v>4</v>
      </c>
      <c r="I34" s="119">
        <f t="shared" si="13"/>
        <v>4</v>
      </c>
      <c r="J34" s="120">
        <f t="shared" si="14"/>
        <v>32</v>
      </c>
    </row>
    <row r="35">
      <c r="A35" s="121"/>
      <c r="B35" s="113" t="s">
        <v>788</v>
      </c>
      <c r="C35" s="138" t="s">
        <v>818</v>
      </c>
      <c r="D35" s="115">
        <v>650.0</v>
      </c>
      <c r="E35" s="116">
        <v>0.1</v>
      </c>
      <c r="F35" s="117">
        <f t="shared" si="11"/>
        <v>65</v>
      </c>
      <c r="H35" s="118">
        <f t="shared" si="12"/>
        <v>6.5</v>
      </c>
      <c r="I35" s="119">
        <f t="shared" si="13"/>
        <v>6.5</v>
      </c>
      <c r="J35" s="120">
        <f t="shared" si="14"/>
        <v>52</v>
      </c>
    </row>
    <row r="36">
      <c r="A36" s="121"/>
      <c r="B36" s="121"/>
      <c r="C36" s="13" t="s">
        <v>819</v>
      </c>
      <c r="D36" s="115">
        <v>600.0</v>
      </c>
      <c r="E36" s="116">
        <v>0.1</v>
      </c>
      <c r="F36" s="117">
        <f t="shared" si="11"/>
        <v>60</v>
      </c>
      <c r="H36" s="118">
        <f t="shared" si="12"/>
        <v>6</v>
      </c>
      <c r="I36" s="119">
        <f t="shared" si="13"/>
        <v>6</v>
      </c>
      <c r="J36" s="120">
        <f t="shared" si="14"/>
        <v>48</v>
      </c>
    </row>
    <row r="37">
      <c r="A37" s="121"/>
      <c r="B37" s="121"/>
      <c r="C37" s="13" t="s">
        <v>80</v>
      </c>
      <c r="D37" s="115">
        <v>900.0</v>
      </c>
      <c r="E37" s="116">
        <v>0.1</v>
      </c>
      <c r="F37" s="117">
        <f t="shared" si="11"/>
        <v>90</v>
      </c>
      <c r="H37" s="118">
        <f t="shared" si="12"/>
        <v>9</v>
      </c>
      <c r="I37" s="119">
        <f t="shared" si="13"/>
        <v>9</v>
      </c>
      <c r="J37" s="120">
        <f t="shared" si="14"/>
        <v>72</v>
      </c>
    </row>
    <row r="38">
      <c r="A38" s="121"/>
      <c r="B38" s="121"/>
      <c r="C38" s="13" t="s">
        <v>820</v>
      </c>
      <c r="D38" s="115">
        <v>1000.0</v>
      </c>
      <c r="E38" s="116">
        <v>0.1</v>
      </c>
      <c r="F38" s="117">
        <f t="shared" si="11"/>
        <v>100</v>
      </c>
      <c r="H38" s="118">
        <f t="shared" si="12"/>
        <v>10</v>
      </c>
      <c r="I38" s="119">
        <f t="shared" si="13"/>
        <v>10</v>
      </c>
      <c r="J38" s="120">
        <f t="shared" si="14"/>
        <v>80</v>
      </c>
    </row>
    <row r="39">
      <c r="C39" s="13" t="s">
        <v>821</v>
      </c>
      <c r="D39" s="115">
        <v>2500.0</v>
      </c>
      <c r="E39" s="116">
        <v>0.1</v>
      </c>
      <c r="F39" s="117">
        <f t="shared" si="11"/>
        <v>250</v>
      </c>
      <c r="H39" s="118">
        <f t="shared" si="12"/>
        <v>25</v>
      </c>
      <c r="I39" s="119">
        <f t="shared" si="13"/>
        <v>25</v>
      </c>
      <c r="J39" s="120">
        <f t="shared" si="14"/>
        <v>200</v>
      </c>
    </row>
    <row r="40">
      <c r="C40" s="13" t="s">
        <v>822</v>
      </c>
      <c r="D40" s="115">
        <v>900.0</v>
      </c>
      <c r="E40" s="116">
        <v>0.1</v>
      </c>
      <c r="F40" s="117">
        <f t="shared" si="11"/>
        <v>90</v>
      </c>
      <c r="H40" s="118">
        <f t="shared" si="12"/>
        <v>9</v>
      </c>
      <c r="I40" s="119">
        <f t="shared" si="13"/>
        <v>9</v>
      </c>
      <c r="J40" s="120">
        <f t="shared" si="14"/>
        <v>72</v>
      </c>
    </row>
    <row r="41">
      <c r="C41" s="13" t="s">
        <v>808</v>
      </c>
      <c r="D41" s="115">
        <v>3300.0</v>
      </c>
      <c r="E41" s="116">
        <v>0.1</v>
      </c>
      <c r="F41" s="117">
        <f t="shared" si="11"/>
        <v>330</v>
      </c>
      <c r="H41" s="118">
        <f t="shared" si="12"/>
        <v>33</v>
      </c>
      <c r="I41" s="119">
        <f t="shared" si="13"/>
        <v>33</v>
      </c>
      <c r="J41" s="120">
        <f t="shared" si="14"/>
        <v>264</v>
      </c>
    </row>
    <row r="42">
      <c r="B42" s="69"/>
      <c r="C42" s="13" t="s">
        <v>823</v>
      </c>
      <c r="D42" s="115">
        <v>600.0</v>
      </c>
      <c r="E42" s="116">
        <v>0.1</v>
      </c>
      <c r="F42" s="117">
        <f t="shared" si="11"/>
        <v>60</v>
      </c>
      <c r="H42" s="118">
        <f t="shared" si="12"/>
        <v>6</v>
      </c>
      <c r="I42" s="119">
        <f t="shared" si="13"/>
        <v>6</v>
      </c>
      <c r="J42" s="120">
        <f t="shared" si="14"/>
        <v>48</v>
      </c>
    </row>
    <row r="43">
      <c r="B43" s="69"/>
      <c r="C43" s="13" t="s">
        <v>824</v>
      </c>
      <c r="D43" s="115">
        <v>700.0</v>
      </c>
      <c r="E43" s="116">
        <v>0.1</v>
      </c>
      <c r="F43" s="117">
        <f t="shared" si="11"/>
        <v>70</v>
      </c>
      <c r="H43" s="118">
        <f t="shared" si="12"/>
        <v>7</v>
      </c>
      <c r="I43" s="119">
        <f t="shared" si="13"/>
        <v>7</v>
      </c>
      <c r="J43" s="120">
        <f t="shared" si="14"/>
        <v>56</v>
      </c>
    </row>
    <row r="44">
      <c r="B44" s="69"/>
      <c r="C44" s="139" t="s">
        <v>825</v>
      </c>
      <c r="D44" s="115">
        <v>280.0</v>
      </c>
      <c r="E44" s="116">
        <v>0.1</v>
      </c>
      <c r="F44" s="117">
        <f t="shared" si="11"/>
        <v>28</v>
      </c>
      <c r="H44" s="118">
        <f t="shared" si="12"/>
        <v>2.8</v>
      </c>
      <c r="I44" s="119">
        <f t="shared" si="13"/>
        <v>2.8</v>
      </c>
      <c r="J44" s="120">
        <f t="shared" si="14"/>
        <v>22.4</v>
      </c>
    </row>
    <row r="45">
      <c r="B45" s="69"/>
      <c r="C45" s="140" t="s">
        <v>798</v>
      </c>
      <c r="D45" s="115">
        <v>250.0</v>
      </c>
      <c r="E45" s="116">
        <v>0.1</v>
      </c>
      <c r="F45" s="117">
        <f t="shared" si="11"/>
        <v>25</v>
      </c>
      <c r="H45" s="118">
        <f t="shared" si="12"/>
        <v>2.5</v>
      </c>
      <c r="I45" s="119">
        <f t="shared" si="13"/>
        <v>2.5</v>
      </c>
      <c r="J45" s="120">
        <f t="shared" si="14"/>
        <v>20</v>
      </c>
    </row>
    <row r="46">
      <c r="B46" s="69"/>
      <c r="C46" s="13" t="s">
        <v>826</v>
      </c>
      <c r="D46" s="115">
        <v>1500.0</v>
      </c>
      <c r="E46" s="116">
        <v>0.1</v>
      </c>
      <c r="F46" s="117">
        <f t="shared" si="11"/>
        <v>150</v>
      </c>
      <c r="H46" s="118">
        <f t="shared" si="12"/>
        <v>15</v>
      </c>
      <c r="I46" s="119">
        <f t="shared" si="13"/>
        <v>15</v>
      </c>
      <c r="J46" s="120">
        <f t="shared" si="14"/>
        <v>120</v>
      </c>
    </row>
    <row r="47">
      <c r="A47" s="69">
        <v>25.0</v>
      </c>
      <c r="B47" s="69" t="s">
        <v>790</v>
      </c>
      <c r="C47" s="140" t="s">
        <v>827</v>
      </c>
      <c r="D47" s="115">
        <v>800.0</v>
      </c>
      <c r="E47" s="116">
        <v>0.1</v>
      </c>
      <c r="F47" s="117">
        <f t="shared" si="11"/>
        <v>80</v>
      </c>
      <c r="H47" s="118">
        <f t="shared" si="12"/>
        <v>8</v>
      </c>
      <c r="I47" s="119">
        <f t="shared" si="13"/>
        <v>8</v>
      </c>
      <c r="J47" s="120">
        <f t="shared" si="14"/>
        <v>64</v>
      </c>
    </row>
    <row r="48">
      <c r="B48" s="69"/>
      <c r="C48" s="13" t="s">
        <v>828</v>
      </c>
      <c r="D48" s="115">
        <v>250.0</v>
      </c>
      <c r="E48" s="116">
        <v>0.1</v>
      </c>
      <c r="F48" s="117">
        <f t="shared" si="11"/>
        <v>25</v>
      </c>
      <c r="H48" s="118">
        <f t="shared" si="12"/>
        <v>2.5</v>
      </c>
      <c r="I48" s="119">
        <f t="shared" si="13"/>
        <v>2.5</v>
      </c>
      <c r="J48" s="120">
        <f t="shared" si="14"/>
        <v>20</v>
      </c>
    </row>
    <row r="49">
      <c r="B49" s="69"/>
      <c r="C49" s="13" t="s">
        <v>829</v>
      </c>
      <c r="D49" s="115">
        <v>400.0</v>
      </c>
      <c r="E49" s="116">
        <v>0.1</v>
      </c>
      <c r="F49" s="117">
        <f t="shared" si="11"/>
        <v>40</v>
      </c>
      <c r="H49" s="118">
        <f t="shared" si="12"/>
        <v>4</v>
      </c>
      <c r="I49" s="119">
        <f t="shared" si="13"/>
        <v>4</v>
      </c>
      <c r="J49" s="120">
        <f t="shared" si="14"/>
        <v>32</v>
      </c>
    </row>
    <row r="50">
      <c r="B50" s="69"/>
      <c r="C50" s="13" t="s">
        <v>830</v>
      </c>
      <c r="D50" s="115">
        <v>3000.0</v>
      </c>
      <c r="E50" s="116">
        <v>0.1</v>
      </c>
      <c r="F50" s="117">
        <f t="shared" si="11"/>
        <v>300</v>
      </c>
      <c r="H50" s="118">
        <f t="shared" si="12"/>
        <v>30</v>
      </c>
      <c r="I50" s="119">
        <f t="shared" si="13"/>
        <v>30</v>
      </c>
      <c r="J50" s="120">
        <f t="shared" si="14"/>
        <v>240</v>
      </c>
    </row>
    <row r="51">
      <c r="B51" s="69"/>
      <c r="C51" s="13" t="s">
        <v>831</v>
      </c>
      <c r="D51" s="115">
        <v>600.0</v>
      </c>
      <c r="E51" s="116">
        <v>0.1</v>
      </c>
      <c r="F51" s="117">
        <f t="shared" si="11"/>
        <v>60</v>
      </c>
      <c r="H51" s="118">
        <f t="shared" si="12"/>
        <v>6</v>
      </c>
      <c r="I51" s="119">
        <f t="shared" si="13"/>
        <v>6</v>
      </c>
      <c r="J51" s="120">
        <f t="shared" si="14"/>
        <v>48</v>
      </c>
    </row>
    <row r="52">
      <c r="A52" s="125"/>
      <c r="B52" s="126"/>
      <c r="C52" s="127" t="s">
        <v>804</v>
      </c>
      <c r="D52" s="128">
        <f>SUM(D33:D51)</f>
        <v>19830</v>
      </c>
      <c r="E52" s="129"/>
      <c r="F52" s="130">
        <f>SUM(F33:F50)</f>
        <v>1923</v>
      </c>
      <c r="G52" s="131"/>
      <c r="H52" s="132">
        <f t="shared" ref="H52:J52" si="15">SUM(H33:H50)</f>
        <v>192.3</v>
      </c>
      <c r="I52" s="133">
        <f t="shared" si="15"/>
        <v>192.3</v>
      </c>
      <c r="J52" s="134">
        <f t="shared" si="15"/>
        <v>1538.4</v>
      </c>
    </row>
    <row r="53">
      <c r="B53" s="69"/>
      <c r="C53" s="69" t="s">
        <v>832</v>
      </c>
      <c r="D53" s="115">
        <v>850.0</v>
      </c>
      <c r="E53" s="116">
        <v>0.1</v>
      </c>
      <c r="F53" s="117">
        <f t="shared" ref="F53:F69" si="16">D53*E53</f>
        <v>85</v>
      </c>
      <c r="G53" s="135" t="s">
        <v>833</v>
      </c>
      <c r="H53" s="118">
        <f t="shared" ref="H53:H69" si="17">F53*E53</f>
        <v>8.5</v>
      </c>
      <c r="I53" s="119">
        <f t="shared" ref="I53:I69" si="18">F53*E53</f>
        <v>8.5</v>
      </c>
      <c r="J53" s="120">
        <f t="shared" ref="J53:J69" si="19">F53-H53-I53</f>
        <v>68</v>
      </c>
    </row>
    <row r="54">
      <c r="B54" s="69"/>
      <c r="C54" s="141" t="s">
        <v>834</v>
      </c>
      <c r="D54" s="115">
        <v>130.0</v>
      </c>
      <c r="E54" s="116">
        <v>0.1</v>
      </c>
      <c r="F54" s="117">
        <f t="shared" si="16"/>
        <v>13</v>
      </c>
      <c r="H54" s="118">
        <f t="shared" si="17"/>
        <v>1.3</v>
      </c>
      <c r="I54" s="119">
        <f t="shared" si="18"/>
        <v>1.3</v>
      </c>
      <c r="J54" s="120">
        <f t="shared" si="19"/>
        <v>10.4</v>
      </c>
    </row>
    <row r="55">
      <c r="B55" s="69" t="s">
        <v>835</v>
      </c>
      <c r="C55" s="69" t="s">
        <v>836</v>
      </c>
      <c r="D55" s="115">
        <v>3200.0</v>
      </c>
      <c r="E55" s="116">
        <v>0.1</v>
      </c>
      <c r="F55" s="117">
        <f t="shared" si="16"/>
        <v>320</v>
      </c>
      <c r="H55" s="118">
        <f t="shared" si="17"/>
        <v>32</v>
      </c>
      <c r="I55" s="119">
        <f t="shared" si="18"/>
        <v>32</v>
      </c>
      <c r="J55" s="120">
        <f t="shared" si="19"/>
        <v>256</v>
      </c>
    </row>
    <row r="56">
      <c r="B56" s="69" t="s">
        <v>837</v>
      </c>
      <c r="C56" s="69" t="s">
        <v>661</v>
      </c>
      <c r="D56" s="115">
        <v>130.0</v>
      </c>
      <c r="E56" s="116">
        <v>0.1</v>
      </c>
      <c r="F56" s="117">
        <f t="shared" si="16"/>
        <v>13</v>
      </c>
      <c r="H56" s="118">
        <f t="shared" si="17"/>
        <v>1.3</v>
      </c>
      <c r="I56" s="119">
        <f t="shared" si="18"/>
        <v>1.3</v>
      </c>
      <c r="J56" s="120">
        <f t="shared" si="19"/>
        <v>10.4</v>
      </c>
    </row>
    <row r="57">
      <c r="B57" s="69"/>
      <c r="C57" s="69" t="s">
        <v>838</v>
      </c>
      <c r="D57" s="115">
        <v>1200.0</v>
      </c>
      <c r="E57" s="116">
        <v>0.1</v>
      </c>
      <c r="F57" s="117">
        <f t="shared" si="16"/>
        <v>120</v>
      </c>
      <c r="H57" s="118">
        <f t="shared" si="17"/>
        <v>12</v>
      </c>
      <c r="I57" s="119">
        <f t="shared" si="18"/>
        <v>12</v>
      </c>
      <c r="J57" s="120">
        <f t="shared" si="19"/>
        <v>96</v>
      </c>
    </row>
    <row r="58">
      <c r="B58" s="69"/>
      <c r="C58" s="69" t="s">
        <v>839</v>
      </c>
      <c r="D58" s="115">
        <v>1000.0</v>
      </c>
      <c r="E58" s="116">
        <v>0.1</v>
      </c>
      <c r="F58" s="117">
        <f t="shared" si="16"/>
        <v>100</v>
      </c>
      <c r="H58" s="118">
        <f t="shared" si="17"/>
        <v>10</v>
      </c>
      <c r="I58" s="119">
        <f t="shared" si="18"/>
        <v>10</v>
      </c>
      <c r="J58" s="120">
        <f t="shared" si="19"/>
        <v>80</v>
      </c>
    </row>
    <row r="59">
      <c r="C59" s="141" t="s">
        <v>840</v>
      </c>
      <c r="D59" s="115">
        <v>220.0</v>
      </c>
      <c r="E59" s="116">
        <v>0.1</v>
      </c>
      <c r="F59" s="117">
        <f t="shared" si="16"/>
        <v>22</v>
      </c>
      <c r="H59" s="118">
        <f t="shared" si="17"/>
        <v>2.2</v>
      </c>
      <c r="I59" s="119">
        <f t="shared" si="18"/>
        <v>2.2</v>
      </c>
      <c r="J59" s="120">
        <f t="shared" si="19"/>
        <v>17.6</v>
      </c>
    </row>
    <row r="60">
      <c r="B60" s="69"/>
      <c r="C60" s="69" t="s">
        <v>841</v>
      </c>
      <c r="D60" s="115">
        <v>3300.0</v>
      </c>
      <c r="E60" s="116">
        <v>0.1</v>
      </c>
      <c r="F60" s="117">
        <f t="shared" si="16"/>
        <v>330</v>
      </c>
      <c r="H60" s="118">
        <f t="shared" si="17"/>
        <v>33</v>
      </c>
      <c r="I60" s="119">
        <f t="shared" si="18"/>
        <v>33</v>
      </c>
      <c r="J60" s="120">
        <f t="shared" si="19"/>
        <v>264</v>
      </c>
    </row>
    <row r="61">
      <c r="B61" s="69" t="s">
        <v>835</v>
      </c>
      <c r="C61" s="69" t="s">
        <v>842</v>
      </c>
      <c r="D61" s="115">
        <v>2200.0</v>
      </c>
      <c r="E61" s="116">
        <v>0.1</v>
      </c>
      <c r="F61" s="117">
        <f t="shared" si="16"/>
        <v>220</v>
      </c>
      <c r="H61" s="118">
        <f t="shared" si="17"/>
        <v>22</v>
      </c>
      <c r="I61" s="119">
        <f t="shared" si="18"/>
        <v>22</v>
      </c>
      <c r="J61" s="120">
        <f t="shared" si="19"/>
        <v>176</v>
      </c>
    </row>
    <row r="62">
      <c r="A62" s="142"/>
      <c r="B62" s="142"/>
      <c r="C62" s="143" t="s">
        <v>843</v>
      </c>
      <c r="D62" s="144">
        <v>2220.0</v>
      </c>
      <c r="E62" s="116">
        <v>0.1</v>
      </c>
      <c r="F62" s="117">
        <f t="shared" si="16"/>
        <v>222</v>
      </c>
      <c r="H62" s="118">
        <f t="shared" si="17"/>
        <v>22.2</v>
      </c>
      <c r="I62" s="119">
        <f t="shared" si="18"/>
        <v>22.2</v>
      </c>
      <c r="J62" s="120">
        <f t="shared" si="19"/>
        <v>177.6</v>
      </c>
    </row>
    <row r="63">
      <c r="B63" s="69" t="s">
        <v>835</v>
      </c>
      <c r="C63" s="69" t="s">
        <v>844</v>
      </c>
      <c r="D63" s="115">
        <v>1000.0</v>
      </c>
      <c r="E63" s="116">
        <v>0.1</v>
      </c>
      <c r="F63" s="117">
        <f t="shared" si="16"/>
        <v>100</v>
      </c>
      <c r="H63" s="118">
        <f t="shared" si="17"/>
        <v>10</v>
      </c>
      <c r="I63" s="119">
        <f t="shared" si="18"/>
        <v>10</v>
      </c>
      <c r="J63" s="120">
        <f t="shared" si="19"/>
        <v>80</v>
      </c>
    </row>
    <row r="64">
      <c r="B64" s="69" t="s">
        <v>788</v>
      </c>
      <c r="C64" s="141" t="s">
        <v>845</v>
      </c>
      <c r="D64" s="115">
        <v>800.0</v>
      </c>
      <c r="E64" s="116">
        <v>0.1</v>
      </c>
      <c r="F64" s="117">
        <f t="shared" si="16"/>
        <v>80</v>
      </c>
      <c r="H64" s="118">
        <f t="shared" si="17"/>
        <v>8</v>
      </c>
      <c r="I64" s="119">
        <f t="shared" si="18"/>
        <v>8</v>
      </c>
      <c r="J64" s="120">
        <f t="shared" si="19"/>
        <v>64</v>
      </c>
    </row>
    <row r="65">
      <c r="C65" s="69" t="s">
        <v>846</v>
      </c>
      <c r="D65" s="115">
        <v>1600.0</v>
      </c>
      <c r="E65" s="116">
        <v>0.1</v>
      </c>
      <c r="F65" s="117">
        <f t="shared" si="16"/>
        <v>160</v>
      </c>
      <c r="H65" s="118">
        <f t="shared" si="17"/>
        <v>16</v>
      </c>
      <c r="I65" s="119">
        <f t="shared" si="18"/>
        <v>16</v>
      </c>
      <c r="J65" s="120">
        <f t="shared" si="19"/>
        <v>128</v>
      </c>
    </row>
    <row r="66">
      <c r="B66" s="69" t="s">
        <v>835</v>
      </c>
      <c r="C66" s="69" t="s">
        <v>847</v>
      </c>
      <c r="D66" s="145">
        <v>750.0</v>
      </c>
      <c r="E66" s="116">
        <v>0.1</v>
      </c>
      <c r="F66" s="117">
        <f t="shared" si="16"/>
        <v>75</v>
      </c>
      <c r="H66" s="118">
        <f t="shared" si="17"/>
        <v>7.5</v>
      </c>
      <c r="I66" s="119">
        <f t="shared" si="18"/>
        <v>7.5</v>
      </c>
      <c r="J66" s="120">
        <f t="shared" si="19"/>
        <v>60</v>
      </c>
    </row>
    <row r="67">
      <c r="B67" s="69" t="s">
        <v>835</v>
      </c>
      <c r="C67" s="69" t="s">
        <v>848</v>
      </c>
      <c r="D67" s="145">
        <v>450.0</v>
      </c>
      <c r="E67" s="116">
        <v>0.1</v>
      </c>
      <c r="F67" s="117">
        <f t="shared" si="16"/>
        <v>45</v>
      </c>
      <c r="H67" s="118">
        <f t="shared" si="17"/>
        <v>4.5</v>
      </c>
      <c r="I67" s="119">
        <f t="shared" si="18"/>
        <v>4.5</v>
      </c>
      <c r="J67" s="120">
        <f t="shared" si="19"/>
        <v>36</v>
      </c>
    </row>
    <row r="68">
      <c r="B68" s="69" t="s">
        <v>835</v>
      </c>
      <c r="C68" s="69" t="s">
        <v>849</v>
      </c>
      <c r="D68" s="145">
        <v>700.0</v>
      </c>
      <c r="E68" s="116">
        <v>0.1</v>
      </c>
      <c r="F68" s="117">
        <f t="shared" si="16"/>
        <v>70</v>
      </c>
      <c r="H68" s="118">
        <f t="shared" si="17"/>
        <v>7</v>
      </c>
      <c r="I68" s="119">
        <f t="shared" si="18"/>
        <v>7</v>
      </c>
      <c r="J68" s="120">
        <f t="shared" si="19"/>
        <v>56</v>
      </c>
    </row>
    <row r="69">
      <c r="B69" s="69" t="s">
        <v>835</v>
      </c>
      <c r="C69" s="69" t="s">
        <v>850</v>
      </c>
      <c r="D69" s="145">
        <v>1500.0</v>
      </c>
      <c r="E69" s="116">
        <v>0.1</v>
      </c>
      <c r="F69" s="117">
        <f t="shared" si="16"/>
        <v>150</v>
      </c>
      <c r="H69" s="118">
        <f t="shared" si="17"/>
        <v>15</v>
      </c>
      <c r="I69" s="119">
        <f t="shared" si="18"/>
        <v>15</v>
      </c>
      <c r="J69" s="120">
        <f t="shared" si="19"/>
        <v>120</v>
      </c>
    </row>
    <row r="70">
      <c r="A70" s="146"/>
      <c r="B70" s="147"/>
      <c r="C70" s="148" t="s">
        <v>804</v>
      </c>
      <c r="D70" s="149">
        <f>SUM(D53:D69)</f>
        <v>21250</v>
      </c>
      <c r="E70" s="150"/>
      <c r="F70" s="151">
        <f>SUM(F53:F69)</f>
        <v>2125</v>
      </c>
      <c r="G70" s="152"/>
      <c r="H70" s="153">
        <f t="shared" ref="H70:J70" si="20">SUM(H53:H69)</f>
        <v>212.5</v>
      </c>
      <c r="I70" s="153">
        <f t="shared" si="20"/>
        <v>212.5</v>
      </c>
      <c r="J70" s="154">
        <f t="shared" si="20"/>
        <v>1700</v>
      </c>
    </row>
    <row r="71">
      <c r="B71" s="69" t="s">
        <v>788</v>
      </c>
      <c r="C71" s="69" t="s">
        <v>851</v>
      </c>
      <c r="D71" s="145">
        <v>2600.0</v>
      </c>
      <c r="E71" s="116">
        <v>0.1</v>
      </c>
      <c r="F71" s="117">
        <f t="shared" ref="F71:F85" si="21">D71*E71</f>
        <v>260</v>
      </c>
      <c r="G71" s="155"/>
      <c r="H71" s="118">
        <f t="shared" ref="H71:H85" si="22">F71*E71</f>
        <v>26</v>
      </c>
      <c r="I71" s="119">
        <f t="shared" ref="I71:I85" si="23">F71*E71</f>
        <v>26</v>
      </c>
      <c r="J71" s="120">
        <f t="shared" ref="J71:J85" si="24">F71-H71-I71</f>
        <v>208</v>
      </c>
    </row>
    <row r="72">
      <c r="C72" s="69" t="s">
        <v>852</v>
      </c>
      <c r="D72" s="145">
        <v>900.0</v>
      </c>
      <c r="E72" s="116">
        <v>0.1</v>
      </c>
      <c r="F72" s="117">
        <f t="shared" si="21"/>
        <v>90</v>
      </c>
      <c r="G72" s="155"/>
      <c r="H72" s="118">
        <f t="shared" si="22"/>
        <v>9</v>
      </c>
      <c r="I72" s="119">
        <f t="shared" si="23"/>
        <v>9</v>
      </c>
      <c r="J72" s="120">
        <f t="shared" si="24"/>
        <v>72</v>
      </c>
    </row>
    <row r="73">
      <c r="C73" s="69" t="s">
        <v>853</v>
      </c>
      <c r="D73" s="145">
        <v>1050.0</v>
      </c>
      <c r="E73" s="116">
        <v>0.1</v>
      </c>
      <c r="F73" s="117">
        <f t="shared" si="21"/>
        <v>105</v>
      </c>
      <c r="G73" s="155"/>
      <c r="H73" s="118">
        <f t="shared" si="22"/>
        <v>10.5</v>
      </c>
      <c r="I73" s="119">
        <f t="shared" si="23"/>
        <v>10.5</v>
      </c>
      <c r="J73" s="120">
        <f t="shared" si="24"/>
        <v>84</v>
      </c>
    </row>
    <row r="74">
      <c r="C74" s="69" t="s">
        <v>854</v>
      </c>
      <c r="D74" s="145">
        <v>450.0</v>
      </c>
      <c r="E74" s="116">
        <v>0.1</v>
      </c>
      <c r="F74" s="117">
        <f t="shared" si="21"/>
        <v>45</v>
      </c>
      <c r="G74" s="155"/>
      <c r="H74" s="118">
        <f t="shared" si="22"/>
        <v>4.5</v>
      </c>
      <c r="I74" s="119">
        <f t="shared" si="23"/>
        <v>4.5</v>
      </c>
      <c r="J74" s="120">
        <f t="shared" si="24"/>
        <v>36</v>
      </c>
    </row>
    <row r="75">
      <c r="C75" s="69" t="s">
        <v>855</v>
      </c>
      <c r="D75" s="145">
        <v>155.0</v>
      </c>
      <c r="E75" s="116">
        <v>0.1</v>
      </c>
      <c r="F75" s="117">
        <f t="shared" si="21"/>
        <v>15.5</v>
      </c>
      <c r="G75" s="155"/>
      <c r="H75" s="118">
        <f t="shared" si="22"/>
        <v>1.55</v>
      </c>
      <c r="I75" s="119">
        <f t="shared" si="23"/>
        <v>1.55</v>
      </c>
      <c r="J75" s="120">
        <f t="shared" si="24"/>
        <v>12.4</v>
      </c>
    </row>
    <row r="76">
      <c r="C76" s="69" t="s">
        <v>74</v>
      </c>
      <c r="D76" s="145">
        <v>900.0</v>
      </c>
      <c r="E76" s="116">
        <v>0.1</v>
      </c>
      <c r="F76" s="117">
        <f t="shared" si="21"/>
        <v>90</v>
      </c>
      <c r="G76" s="155"/>
      <c r="H76" s="118">
        <f t="shared" si="22"/>
        <v>9</v>
      </c>
      <c r="I76" s="119">
        <f t="shared" si="23"/>
        <v>9</v>
      </c>
      <c r="J76" s="120">
        <f t="shared" si="24"/>
        <v>72</v>
      </c>
    </row>
    <row r="77">
      <c r="C77" s="141" t="s">
        <v>856</v>
      </c>
      <c r="D77" s="156">
        <v>150.0</v>
      </c>
      <c r="E77" s="116">
        <v>0.1</v>
      </c>
      <c r="F77" s="117">
        <f t="shared" si="21"/>
        <v>15</v>
      </c>
      <c r="G77" s="155"/>
      <c r="H77" s="118">
        <f t="shared" si="22"/>
        <v>1.5</v>
      </c>
      <c r="I77" s="119">
        <f t="shared" si="23"/>
        <v>1.5</v>
      </c>
      <c r="J77" s="120">
        <f t="shared" si="24"/>
        <v>12</v>
      </c>
    </row>
    <row r="78">
      <c r="B78" s="69" t="s">
        <v>788</v>
      </c>
      <c r="C78" s="69" t="s">
        <v>857</v>
      </c>
      <c r="D78" s="156">
        <v>1600.0</v>
      </c>
      <c r="E78" s="116">
        <v>0.1</v>
      </c>
      <c r="F78" s="117">
        <f t="shared" si="21"/>
        <v>160</v>
      </c>
      <c r="G78" s="155"/>
      <c r="H78" s="118">
        <f t="shared" si="22"/>
        <v>16</v>
      </c>
      <c r="I78" s="119">
        <f t="shared" si="23"/>
        <v>16</v>
      </c>
      <c r="J78" s="120">
        <f t="shared" si="24"/>
        <v>128</v>
      </c>
    </row>
    <row r="79">
      <c r="C79" s="69" t="s">
        <v>858</v>
      </c>
      <c r="D79" s="145">
        <v>400.0</v>
      </c>
      <c r="E79" s="116">
        <v>0.1</v>
      </c>
      <c r="F79" s="117">
        <f t="shared" si="21"/>
        <v>40</v>
      </c>
      <c r="G79" s="155"/>
      <c r="H79" s="118">
        <f t="shared" si="22"/>
        <v>4</v>
      </c>
      <c r="I79" s="119">
        <f t="shared" si="23"/>
        <v>4</v>
      </c>
      <c r="J79" s="120">
        <f t="shared" si="24"/>
        <v>32</v>
      </c>
    </row>
    <row r="80">
      <c r="C80" s="69" t="s">
        <v>859</v>
      </c>
      <c r="D80" s="145">
        <v>1200.0</v>
      </c>
      <c r="E80" s="116">
        <v>0.1</v>
      </c>
      <c r="F80" s="117">
        <f t="shared" si="21"/>
        <v>120</v>
      </c>
      <c r="G80" s="155"/>
      <c r="H80" s="118">
        <f t="shared" si="22"/>
        <v>12</v>
      </c>
      <c r="I80" s="119">
        <f t="shared" si="23"/>
        <v>12</v>
      </c>
      <c r="J80" s="120">
        <f t="shared" si="24"/>
        <v>96</v>
      </c>
    </row>
    <row r="81">
      <c r="C81" s="69" t="s">
        <v>860</v>
      </c>
      <c r="D81" s="145">
        <v>750.0</v>
      </c>
      <c r="E81" s="116">
        <v>0.1</v>
      </c>
      <c r="F81" s="117">
        <f t="shared" si="21"/>
        <v>75</v>
      </c>
      <c r="G81" s="155"/>
      <c r="H81" s="118">
        <f t="shared" si="22"/>
        <v>7.5</v>
      </c>
      <c r="I81" s="119">
        <f t="shared" si="23"/>
        <v>7.5</v>
      </c>
      <c r="J81" s="120">
        <f t="shared" si="24"/>
        <v>60</v>
      </c>
    </row>
    <row r="82">
      <c r="C82" s="69" t="s">
        <v>861</v>
      </c>
      <c r="D82" s="145">
        <v>100.0</v>
      </c>
      <c r="E82" s="116">
        <v>0.1</v>
      </c>
      <c r="F82" s="117">
        <f t="shared" si="21"/>
        <v>10</v>
      </c>
      <c r="G82" s="155"/>
      <c r="H82" s="118">
        <f t="shared" si="22"/>
        <v>1</v>
      </c>
      <c r="I82" s="119">
        <f t="shared" si="23"/>
        <v>1</v>
      </c>
      <c r="J82" s="120">
        <f t="shared" si="24"/>
        <v>8</v>
      </c>
    </row>
    <row r="83">
      <c r="B83" s="69"/>
      <c r="C83" s="69" t="s">
        <v>862</v>
      </c>
      <c r="D83" s="145">
        <v>1050.0</v>
      </c>
      <c r="E83" s="116">
        <v>0.1</v>
      </c>
      <c r="F83" s="117">
        <f t="shared" si="21"/>
        <v>105</v>
      </c>
      <c r="G83" s="155"/>
      <c r="H83" s="118">
        <f t="shared" si="22"/>
        <v>10.5</v>
      </c>
      <c r="I83" s="119">
        <f t="shared" si="23"/>
        <v>10.5</v>
      </c>
      <c r="J83" s="120">
        <f t="shared" si="24"/>
        <v>84</v>
      </c>
    </row>
    <row r="84">
      <c r="A84" s="142"/>
      <c r="B84" s="142"/>
      <c r="C84" s="157" t="s">
        <v>863</v>
      </c>
      <c r="D84" s="145">
        <v>700.0</v>
      </c>
      <c r="E84" s="116">
        <v>0.1</v>
      </c>
      <c r="F84" s="117">
        <f t="shared" si="21"/>
        <v>70</v>
      </c>
      <c r="G84" s="158"/>
      <c r="H84" s="118">
        <f t="shared" si="22"/>
        <v>7</v>
      </c>
      <c r="I84" s="119">
        <f t="shared" si="23"/>
        <v>7</v>
      </c>
      <c r="J84" s="120">
        <f t="shared" si="24"/>
        <v>56</v>
      </c>
    </row>
    <row r="85">
      <c r="B85" s="69"/>
      <c r="C85" s="69" t="s">
        <v>864</v>
      </c>
      <c r="D85" s="145">
        <v>1200.0</v>
      </c>
      <c r="E85" s="116">
        <v>0.1</v>
      </c>
      <c r="F85" s="117">
        <f t="shared" si="21"/>
        <v>120</v>
      </c>
      <c r="G85" s="155"/>
      <c r="H85" s="118">
        <f t="shared" si="22"/>
        <v>12</v>
      </c>
      <c r="I85" s="119">
        <f t="shared" si="23"/>
        <v>12</v>
      </c>
      <c r="J85" s="120">
        <f t="shared" si="24"/>
        <v>96</v>
      </c>
    </row>
    <row r="86">
      <c r="B86" s="69"/>
      <c r="C86" s="69" t="s">
        <v>865</v>
      </c>
      <c r="D86" s="145">
        <v>350.0</v>
      </c>
      <c r="E86" s="159"/>
      <c r="H86" s="160"/>
      <c r="J86" s="161"/>
    </row>
    <row r="87">
      <c r="B87" s="69"/>
      <c r="C87" s="69" t="s">
        <v>866</v>
      </c>
      <c r="D87" s="145">
        <v>2700.0</v>
      </c>
      <c r="E87" s="159"/>
      <c r="H87" s="160"/>
      <c r="J87" s="161"/>
    </row>
    <row r="88">
      <c r="B88" s="69"/>
      <c r="C88" s="69"/>
      <c r="D88" s="145"/>
      <c r="E88" s="159"/>
      <c r="H88" s="160"/>
      <c r="J88" s="161"/>
    </row>
    <row r="89">
      <c r="B89" s="69"/>
      <c r="C89" s="69"/>
      <c r="D89" s="145"/>
      <c r="E89" s="159"/>
      <c r="H89" s="160"/>
      <c r="J89" s="161"/>
    </row>
    <row r="90">
      <c r="B90" s="69"/>
      <c r="C90" s="69"/>
      <c r="D90" s="145"/>
      <c r="E90" s="159"/>
      <c r="H90" s="160"/>
      <c r="J90" s="161"/>
    </row>
    <row r="91">
      <c r="B91" s="69"/>
      <c r="C91" s="69"/>
      <c r="D91" s="145"/>
      <c r="E91" s="159"/>
      <c r="H91" s="160"/>
      <c r="J91" s="161"/>
    </row>
    <row r="92">
      <c r="B92" s="69"/>
      <c r="C92" s="69"/>
      <c r="D92" s="145"/>
      <c r="E92" s="159"/>
      <c r="H92" s="160"/>
      <c r="J92" s="161"/>
    </row>
    <row r="93">
      <c r="B93" s="69"/>
      <c r="C93" s="69"/>
      <c r="D93" s="145"/>
      <c r="E93" s="159"/>
      <c r="H93" s="160"/>
      <c r="J93" s="161"/>
    </row>
    <row r="94">
      <c r="B94" s="69"/>
      <c r="C94" s="69"/>
      <c r="D94" s="145"/>
      <c r="E94" s="159"/>
      <c r="H94" s="160"/>
      <c r="J94" s="161"/>
    </row>
    <row r="95">
      <c r="C95" s="69"/>
      <c r="D95" s="145"/>
      <c r="E95" s="159"/>
      <c r="H95" s="160"/>
      <c r="J95" s="161"/>
    </row>
    <row r="96">
      <c r="C96" s="69"/>
      <c r="D96" s="145"/>
      <c r="E96" s="159"/>
      <c r="H96" s="160"/>
      <c r="J96" s="161"/>
    </row>
    <row r="97">
      <c r="C97" s="69"/>
      <c r="D97" s="145"/>
      <c r="E97" s="159"/>
      <c r="H97" s="160"/>
      <c r="J97" s="161"/>
    </row>
    <row r="98">
      <c r="C98" s="69"/>
      <c r="D98" s="145"/>
      <c r="E98" s="159"/>
      <c r="H98" s="160"/>
      <c r="J98" s="161"/>
    </row>
    <row r="99">
      <c r="C99" s="69"/>
      <c r="D99" s="145"/>
      <c r="E99" s="159"/>
      <c r="H99" s="160"/>
      <c r="J99" s="161"/>
    </row>
    <row r="100">
      <c r="C100" s="69"/>
      <c r="D100" s="145"/>
      <c r="E100" s="159"/>
      <c r="H100" s="160"/>
      <c r="J100" s="161"/>
    </row>
    <row r="101">
      <c r="C101" s="69"/>
      <c r="D101" s="145"/>
      <c r="E101" s="159"/>
      <c r="H101" s="160"/>
      <c r="J101" s="161"/>
    </row>
    <row r="102">
      <c r="C102" s="69"/>
      <c r="D102" s="145"/>
      <c r="E102" s="159"/>
      <c r="H102" s="160"/>
      <c r="J102" s="161"/>
    </row>
    <row r="103">
      <c r="C103" s="69"/>
      <c r="D103" s="145"/>
      <c r="E103" s="159"/>
      <c r="H103" s="160"/>
      <c r="J103" s="161"/>
    </row>
    <row r="104">
      <c r="C104" s="69"/>
      <c r="D104" s="145"/>
      <c r="E104" s="159"/>
      <c r="H104" s="160"/>
      <c r="J104" s="161"/>
    </row>
    <row r="105">
      <c r="C105" s="69"/>
      <c r="D105" s="145"/>
      <c r="E105" s="159"/>
      <c r="G105" s="155"/>
      <c r="H105" s="160"/>
      <c r="J105" s="161"/>
    </row>
    <row r="106">
      <c r="A106" s="142"/>
      <c r="B106" s="142"/>
      <c r="C106" s="162"/>
      <c r="D106" s="163"/>
      <c r="E106" s="164"/>
      <c r="F106" s="165"/>
      <c r="G106" s="158"/>
      <c r="H106" s="166"/>
      <c r="J106" s="158"/>
    </row>
    <row r="107">
      <c r="C107" s="69"/>
      <c r="D107" s="145"/>
      <c r="E107" s="159"/>
      <c r="G107" s="155"/>
      <c r="H107" s="160"/>
      <c r="J107" s="161"/>
    </row>
    <row r="108">
      <c r="C108" s="69"/>
      <c r="D108" s="145"/>
      <c r="E108" s="159"/>
      <c r="H108" s="160"/>
      <c r="J108" s="161"/>
    </row>
    <row r="109">
      <c r="C109" s="69"/>
      <c r="D109" s="145"/>
      <c r="E109" s="159"/>
      <c r="H109" s="160"/>
      <c r="J109" s="161"/>
    </row>
    <row r="110">
      <c r="C110" s="69"/>
      <c r="D110" s="145"/>
      <c r="E110" s="159"/>
      <c r="H110" s="160"/>
      <c r="J110" s="161"/>
    </row>
    <row r="111">
      <c r="C111" s="69"/>
      <c r="D111" s="145"/>
      <c r="E111" s="159"/>
      <c r="H111" s="160"/>
      <c r="J111" s="161"/>
    </row>
    <row r="112">
      <c r="C112" s="69"/>
      <c r="D112" s="145"/>
      <c r="E112" s="159"/>
      <c r="H112" s="160"/>
      <c r="J112" s="161"/>
    </row>
    <row r="113">
      <c r="C113" s="69"/>
      <c r="D113" s="145"/>
      <c r="E113" s="159"/>
      <c r="H113" s="160"/>
      <c r="J113" s="161"/>
    </row>
    <row r="114">
      <c r="C114" s="69"/>
      <c r="D114" s="145"/>
      <c r="E114" s="159"/>
      <c r="H114" s="160"/>
      <c r="J114" s="161"/>
    </row>
    <row r="115">
      <c r="C115" s="69"/>
      <c r="D115" s="145"/>
      <c r="E115" s="159"/>
      <c r="H115" s="160"/>
      <c r="J115" s="161"/>
    </row>
    <row r="116">
      <c r="C116" s="69"/>
      <c r="D116" s="145"/>
      <c r="E116" s="159"/>
      <c r="H116" s="160"/>
      <c r="J116" s="161"/>
    </row>
    <row r="117">
      <c r="C117" s="69"/>
      <c r="D117" s="145"/>
      <c r="E117" s="159"/>
      <c r="H117" s="160"/>
      <c r="J117" s="161"/>
    </row>
    <row r="118">
      <c r="C118" s="69"/>
      <c r="D118" s="145"/>
      <c r="E118" s="159"/>
      <c r="H118" s="160"/>
      <c r="J118" s="161"/>
    </row>
    <row r="119">
      <c r="C119" s="69"/>
      <c r="D119" s="145"/>
      <c r="E119" s="159"/>
      <c r="H119" s="160"/>
      <c r="J119" s="161"/>
    </row>
    <row r="120">
      <c r="C120" s="69"/>
      <c r="D120" s="145"/>
      <c r="E120" s="159"/>
      <c r="H120" s="160"/>
      <c r="J120" s="161"/>
    </row>
    <row r="121">
      <c r="C121" s="69"/>
      <c r="D121" s="145"/>
      <c r="E121" s="159"/>
      <c r="H121" s="160"/>
      <c r="J121" s="161"/>
    </row>
    <row r="122">
      <c r="C122" s="69"/>
      <c r="D122" s="145"/>
      <c r="E122" s="159"/>
      <c r="H122" s="160"/>
      <c r="J122" s="161"/>
    </row>
    <row r="123">
      <c r="C123" s="69"/>
      <c r="D123" s="145"/>
      <c r="E123" s="159"/>
      <c r="H123" s="160"/>
      <c r="J123" s="161"/>
    </row>
    <row r="124">
      <c r="C124" s="69"/>
      <c r="D124" s="145"/>
      <c r="E124" s="159"/>
      <c r="H124" s="160"/>
      <c r="J124" s="161"/>
    </row>
    <row r="125">
      <c r="C125" s="69"/>
      <c r="D125" s="145"/>
      <c r="E125" s="159"/>
      <c r="H125" s="160"/>
      <c r="J125" s="161"/>
    </row>
    <row r="126">
      <c r="C126" s="69"/>
      <c r="D126" s="145"/>
      <c r="E126" s="159"/>
      <c r="H126" s="160"/>
      <c r="J126" s="161"/>
    </row>
    <row r="127">
      <c r="A127" s="142"/>
      <c r="B127" s="142"/>
      <c r="C127" s="162"/>
      <c r="D127" s="163"/>
      <c r="E127" s="164"/>
      <c r="F127" s="165"/>
      <c r="G127" s="158"/>
      <c r="H127" s="166"/>
      <c r="I127" s="167"/>
      <c r="J127" s="158"/>
      <c r="K127" s="167"/>
      <c r="L127" s="167"/>
    </row>
    <row r="128">
      <c r="C128" s="69"/>
      <c r="D128" s="145"/>
      <c r="E128" s="159"/>
      <c r="G128" s="155"/>
      <c r="I128" s="167"/>
      <c r="K128" s="167"/>
      <c r="L128" s="167"/>
    </row>
    <row r="129">
      <c r="C129" s="69"/>
      <c r="D129" s="145"/>
      <c r="E129" s="159"/>
      <c r="I129" s="167"/>
      <c r="K129" s="167"/>
      <c r="L129" s="167"/>
    </row>
    <row r="130">
      <c r="C130" s="69"/>
      <c r="D130" s="145"/>
      <c r="E130" s="159"/>
    </row>
    <row r="131">
      <c r="C131" s="69"/>
      <c r="D131" s="145"/>
      <c r="E131" s="159"/>
    </row>
    <row r="132">
      <c r="C132" s="69"/>
      <c r="D132" s="145"/>
      <c r="E132" s="159"/>
    </row>
    <row r="133">
      <c r="C133" s="69"/>
      <c r="D133" s="145"/>
      <c r="E133" s="159"/>
    </row>
    <row r="134">
      <c r="C134" s="69"/>
      <c r="D134" s="145"/>
      <c r="E134" s="159"/>
    </row>
    <row r="135">
      <c r="C135" s="69"/>
      <c r="D135" s="145"/>
      <c r="E135" s="159"/>
    </row>
    <row r="136">
      <c r="C136" s="69"/>
      <c r="D136" s="145"/>
      <c r="E136" s="159"/>
    </row>
    <row r="137">
      <c r="C137" s="69"/>
      <c r="D137" s="145"/>
      <c r="E137" s="159"/>
    </row>
    <row r="138">
      <c r="C138" s="69"/>
      <c r="D138" s="145"/>
      <c r="E138" s="159"/>
    </row>
    <row r="139">
      <c r="C139" s="69"/>
      <c r="D139" s="145"/>
      <c r="E139" s="159"/>
    </row>
    <row r="140">
      <c r="C140" s="69"/>
      <c r="D140" s="145"/>
      <c r="E140" s="159"/>
    </row>
    <row r="141">
      <c r="C141" s="69"/>
      <c r="D141" s="145"/>
      <c r="E141" s="159"/>
    </row>
    <row r="142">
      <c r="C142" s="69"/>
      <c r="D142" s="145"/>
      <c r="E142" s="159"/>
    </row>
    <row r="143">
      <c r="C143" s="69"/>
      <c r="D143" s="145"/>
      <c r="E143" s="159"/>
    </row>
    <row r="144">
      <c r="C144" s="69"/>
      <c r="D144" s="145"/>
      <c r="E144" s="159"/>
    </row>
    <row r="145">
      <c r="C145" s="69"/>
      <c r="D145" s="145"/>
      <c r="E145" s="159"/>
    </row>
    <row r="146">
      <c r="C146" s="69"/>
      <c r="D146" s="145"/>
      <c r="E146" s="159"/>
    </row>
    <row r="147">
      <c r="C147" s="69"/>
      <c r="D147" s="145"/>
      <c r="E147" s="159"/>
    </row>
    <row r="148">
      <c r="C148" s="69"/>
      <c r="D148" s="145"/>
      <c r="E148" s="159"/>
    </row>
    <row r="149">
      <c r="A149" s="142"/>
      <c r="B149" s="142"/>
      <c r="C149" s="162"/>
      <c r="D149" s="163"/>
      <c r="E149" s="164"/>
      <c r="F149" s="165"/>
      <c r="G149" s="158"/>
      <c r="H149" s="166"/>
      <c r="J149" s="158"/>
    </row>
    <row r="150" ht="27.75" customHeight="1">
      <c r="A150" s="168"/>
      <c r="B150" s="168"/>
      <c r="C150" s="169"/>
      <c r="D150" s="170"/>
      <c r="E150" s="168"/>
      <c r="F150" s="171"/>
      <c r="G150" s="168"/>
      <c r="H150" s="171"/>
      <c r="J150" s="171"/>
    </row>
    <row r="151">
      <c r="D151" s="98"/>
    </row>
    <row r="152">
      <c r="D152" s="98"/>
    </row>
    <row r="153">
      <c r="A153" s="99"/>
      <c r="B153" s="99"/>
      <c r="C153" s="99"/>
      <c r="D153" s="172"/>
      <c r="E153" s="99"/>
      <c r="F153" s="99"/>
      <c r="G153" s="99"/>
      <c r="H153" s="99"/>
      <c r="J153" s="99"/>
    </row>
    <row r="154">
      <c r="A154" s="173"/>
      <c r="B154" s="174"/>
      <c r="C154" s="173"/>
      <c r="D154" s="175"/>
      <c r="E154" s="176"/>
      <c r="F154" s="177"/>
      <c r="G154" s="178"/>
      <c r="H154" s="179"/>
      <c r="J154" s="180"/>
    </row>
    <row r="155">
      <c r="A155" s="181"/>
      <c r="B155" s="182"/>
      <c r="C155" s="157"/>
      <c r="D155" s="143"/>
      <c r="E155" s="176"/>
      <c r="F155" s="177"/>
      <c r="H155" s="179"/>
      <c r="J155" s="180"/>
    </row>
    <row r="156">
      <c r="A156" s="173"/>
      <c r="B156" s="174"/>
      <c r="C156" s="173"/>
      <c r="D156" s="175"/>
      <c r="E156" s="176"/>
      <c r="F156" s="177"/>
      <c r="H156" s="179"/>
      <c r="J156" s="180"/>
    </row>
    <row r="157">
      <c r="A157" s="181"/>
      <c r="B157" s="182"/>
      <c r="C157" s="157"/>
      <c r="D157" s="143"/>
      <c r="E157" s="176"/>
      <c r="F157" s="177"/>
      <c r="H157" s="179"/>
      <c r="J157" s="180"/>
    </row>
    <row r="158">
      <c r="A158" s="173"/>
      <c r="B158" s="183"/>
      <c r="C158" s="173"/>
      <c r="D158" s="175"/>
      <c r="E158" s="176"/>
      <c r="F158" s="177"/>
      <c r="H158" s="179"/>
      <c r="J158" s="180"/>
    </row>
    <row r="159">
      <c r="A159" s="181"/>
      <c r="B159" s="184"/>
      <c r="C159" s="157"/>
      <c r="D159" s="143"/>
      <c r="E159" s="176"/>
      <c r="F159" s="177"/>
      <c r="H159" s="179"/>
      <c r="J159" s="180"/>
    </row>
    <row r="160">
      <c r="A160" s="181"/>
      <c r="B160" s="185"/>
      <c r="C160" s="157"/>
      <c r="D160" s="143"/>
      <c r="E160" s="176"/>
      <c r="F160" s="177"/>
      <c r="H160" s="179"/>
      <c r="J160" s="180"/>
    </row>
    <row r="161">
      <c r="A161" s="181"/>
      <c r="B161" s="185"/>
      <c r="C161" s="186"/>
      <c r="D161" s="187"/>
      <c r="E161" s="179"/>
      <c r="F161" s="188"/>
      <c r="G161" s="178"/>
      <c r="H161" s="189"/>
      <c r="J161" s="158"/>
    </row>
    <row r="162">
      <c r="A162" s="157"/>
      <c r="B162" s="185"/>
      <c r="C162" s="157"/>
      <c r="D162" s="143"/>
      <c r="E162" s="176"/>
      <c r="F162" s="177"/>
      <c r="G162" s="190"/>
      <c r="H162" s="179"/>
      <c r="J162" s="180"/>
    </row>
    <row r="163">
      <c r="A163" s="181"/>
      <c r="B163" s="185"/>
      <c r="C163" s="157"/>
      <c r="D163" s="143"/>
      <c r="E163" s="176"/>
      <c r="F163" s="177"/>
      <c r="H163" s="179"/>
      <c r="J163" s="180"/>
    </row>
    <row r="164">
      <c r="A164" s="181"/>
      <c r="B164" s="185"/>
      <c r="C164" s="157"/>
      <c r="D164" s="143"/>
      <c r="E164" s="176"/>
      <c r="F164" s="177"/>
      <c r="H164" s="179"/>
      <c r="J164" s="180"/>
    </row>
    <row r="165">
      <c r="A165" s="181"/>
      <c r="B165" s="191"/>
      <c r="C165" s="69"/>
      <c r="D165" s="192"/>
      <c r="E165" s="176"/>
      <c r="F165" s="177"/>
      <c r="H165" s="179"/>
      <c r="J165" s="180"/>
    </row>
    <row r="166">
      <c r="A166" s="181"/>
      <c r="C166" s="193"/>
      <c r="D166" s="194"/>
      <c r="E166" s="164"/>
      <c r="F166" s="188"/>
      <c r="G166" s="178"/>
      <c r="H166" s="189"/>
      <c r="J166" s="158"/>
    </row>
    <row r="167">
      <c r="A167" s="181"/>
      <c r="B167" s="136"/>
      <c r="C167" s="173"/>
      <c r="D167" s="195"/>
      <c r="E167" s="176"/>
      <c r="F167" s="177"/>
      <c r="G167" s="178"/>
      <c r="H167" s="179"/>
      <c r="J167" s="180"/>
    </row>
    <row r="168">
      <c r="A168" s="181"/>
      <c r="B168" s="136"/>
      <c r="C168" s="157"/>
      <c r="D168" s="143"/>
      <c r="E168" s="176"/>
      <c r="F168" s="177"/>
      <c r="H168" s="179"/>
      <c r="J168" s="180"/>
    </row>
    <row r="169">
      <c r="A169" s="181"/>
      <c r="B169" s="136"/>
      <c r="C169" s="157"/>
      <c r="D169" s="143"/>
      <c r="E169" s="176"/>
      <c r="F169" s="177"/>
      <c r="H169" s="179"/>
      <c r="J169" s="180"/>
    </row>
    <row r="170">
      <c r="A170" s="181"/>
      <c r="B170" s="136"/>
      <c r="C170" s="157"/>
      <c r="D170" s="143"/>
      <c r="E170" s="176"/>
      <c r="F170" s="177"/>
      <c r="H170" s="179"/>
      <c r="J170" s="180"/>
    </row>
    <row r="171">
      <c r="A171" s="181"/>
      <c r="B171" s="136"/>
      <c r="C171" s="157"/>
      <c r="D171" s="143"/>
      <c r="E171" s="176"/>
      <c r="F171" s="177"/>
      <c r="H171" s="179"/>
      <c r="J171" s="180"/>
    </row>
    <row r="172">
      <c r="A172" s="181"/>
      <c r="B172" s="136"/>
      <c r="C172" s="157"/>
      <c r="D172" s="143"/>
      <c r="E172" s="176"/>
      <c r="F172" s="177"/>
      <c r="H172" s="179"/>
      <c r="J172" s="180"/>
    </row>
    <row r="173">
      <c r="A173" s="181"/>
      <c r="B173" s="136"/>
      <c r="C173" s="157"/>
      <c r="D173" s="143"/>
      <c r="E173" s="176"/>
      <c r="F173" s="177"/>
      <c r="H173" s="179"/>
      <c r="J173" s="180"/>
    </row>
    <row r="174">
      <c r="A174" s="181"/>
      <c r="B174" s="136"/>
      <c r="C174" s="157"/>
      <c r="D174" s="143"/>
      <c r="E174" s="176"/>
      <c r="F174" s="177"/>
      <c r="H174" s="179"/>
      <c r="J174" s="180"/>
    </row>
    <row r="175">
      <c r="A175" s="181"/>
      <c r="B175" s="136"/>
      <c r="C175" s="157"/>
      <c r="D175" s="143"/>
      <c r="E175" s="176"/>
      <c r="F175" s="177"/>
      <c r="H175" s="179"/>
      <c r="J175" s="180"/>
    </row>
    <row r="176">
      <c r="A176" s="196"/>
      <c r="B176" s="196"/>
      <c r="C176" s="197"/>
      <c r="D176" s="198"/>
      <c r="E176" s="164"/>
      <c r="F176" s="188"/>
      <c r="G176" s="158"/>
      <c r="H176" s="189"/>
      <c r="J176" s="158"/>
    </row>
    <row r="177">
      <c r="A177" s="199"/>
      <c r="B177" s="200"/>
      <c r="C177" s="197"/>
      <c r="D177" s="201"/>
      <c r="E177" s="202"/>
      <c r="F177" s="203"/>
      <c r="G177" s="204"/>
      <c r="H177" s="205"/>
      <c r="J177" s="204"/>
    </row>
    <row r="178">
      <c r="D178" s="98"/>
    </row>
    <row r="179">
      <c r="D179" s="98"/>
    </row>
    <row r="180">
      <c r="D180" s="98"/>
    </row>
    <row r="181">
      <c r="D181" s="98"/>
    </row>
    <row r="182">
      <c r="D182" s="98"/>
    </row>
    <row r="183">
      <c r="D183" s="98"/>
    </row>
    <row r="184">
      <c r="D184" s="98"/>
    </row>
    <row r="185">
      <c r="D185" s="98"/>
    </row>
    <row r="186">
      <c r="D186" s="98"/>
    </row>
    <row r="187">
      <c r="D187" s="98"/>
    </row>
    <row r="188">
      <c r="D188" s="98"/>
    </row>
    <row r="189">
      <c r="D189" s="98"/>
    </row>
    <row r="190">
      <c r="D190" s="98"/>
    </row>
    <row r="191">
      <c r="D191" s="98"/>
    </row>
    <row r="192">
      <c r="D192" s="98"/>
    </row>
    <row r="193">
      <c r="D193" s="98"/>
    </row>
    <row r="194">
      <c r="D194" s="98"/>
    </row>
    <row r="195">
      <c r="D195" s="98"/>
    </row>
    <row r="196">
      <c r="D196" s="98"/>
    </row>
    <row r="197">
      <c r="D197" s="98"/>
    </row>
    <row r="198">
      <c r="D198" s="98"/>
    </row>
    <row r="199">
      <c r="D199" s="98"/>
    </row>
    <row r="200">
      <c r="D200" s="98"/>
    </row>
    <row r="201">
      <c r="D201" s="98"/>
    </row>
    <row r="202">
      <c r="D202" s="98"/>
    </row>
    <row r="203">
      <c r="D203" s="98"/>
    </row>
    <row r="204">
      <c r="D204" s="98"/>
    </row>
    <row r="205">
      <c r="D205" s="98"/>
    </row>
    <row r="206">
      <c r="D206" s="98"/>
    </row>
    <row r="207">
      <c r="D207" s="98"/>
    </row>
    <row r="208">
      <c r="D208" s="98"/>
    </row>
    <row r="209">
      <c r="D209" s="98"/>
    </row>
    <row r="210">
      <c r="D210" s="98"/>
    </row>
    <row r="211">
      <c r="D211" s="98"/>
    </row>
    <row r="212">
      <c r="D212" s="98"/>
    </row>
    <row r="213">
      <c r="D213" s="98"/>
    </row>
    <row r="214">
      <c r="D214" s="98"/>
    </row>
    <row r="215">
      <c r="D215" s="98"/>
    </row>
    <row r="216">
      <c r="D216" s="98"/>
    </row>
    <row r="217">
      <c r="D217" s="98"/>
    </row>
    <row r="218">
      <c r="D218" s="98"/>
    </row>
    <row r="219">
      <c r="D219" s="98"/>
    </row>
    <row r="220">
      <c r="D220" s="98"/>
    </row>
    <row r="221">
      <c r="D221" s="98"/>
    </row>
    <row r="222">
      <c r="D222" s="98"/>
    </row>
    <row r="223">
      <c r="D223" s="98"/>
    </row>
    <row r="224">
      <c r="D224" s="98"/>
    </row>
    <row r="225">
      <c r="D225" s="98"/>
    </row>
    <row r="226">
      <c r="D226" s="98"/>
    </row>
    <row r="227">
      <c r="D227" s="98"/>
    </row>
    <row r="228">
      <c r="D228" s="98"/>
    </row>
    <row r="229">
      <c r="D229" s="98"/>
    </row>
    <row r="230">
      <c r="D230" s="98"/>
    </row>
    <row r="231">
      <c r="D231" s="98"/>
    </row>
    <row r="232">
      <c r="D232" s="98"/>
    </row>
    <row r="233">
      <c r="D233" s="98"/>
    </row>
    <row r="234">
      <c r="D234" s="98"/>
    </row>
    <row r="235">
      <c r="D235" s="98"/>
    </row>
    <row r="236">
      <c r="D236" s="98"/>
    </row>
    <row r="237">
      <c r="D237" s="98"/>
    </row>
    <row r="238">
      <c r="D238" s="98"/>
    </row>
    <row r="239">
      <c r="D239" s="98"/>
    </row>
    <row r="240">
      <c r="D240" s="98"/>
    </row>
    <row r="241">
      <c r="D241" s="98"/>
    </row>
    <row r="242">
      <c r="D242" s="98"/>
    </row>
    <row r="243">
      <c r="D243" s="98"/>
    </row>
    <row r="244">
      <c r="D244" s="98"/>
    </row>
    <row r="245">
      <c r="D245" s="98"/>
    </row>
    <row r="246">
      <c r="D246" s="98"/>
    </row>
    <row r="247">
      <c r="D247" s="98"/>
    </row>
    <row r="248">
      <c r="D248" s="98"/>
    </row>
    <row r="249">
      <c r="D249" s="98"/>
    </row>
    <row r="250">
      <c r="D250" s="98"/>
    </row>
    <row r="251">
      <c r="D251" s="98"/>
    </row>
    <row r="252">
      <c r="D252" s="98"/>
    </row>
    <row r="253">
      <c r="D253" s="98"/>
    </row>
    <row r="254">
      <c r="D254" s="98"/>
    </row>
    <row r="255">
      <c r="D255" s="98"/>
    </row>
    <row r="256">
      <c r="D256" s="98"/>
    </row>
    <row r="257">
      <c r="D257" s="98"/>
    </row>
    <row r="258">
      <c r="D258" s="98"/>
    </row>
    <row r="259">
      <c r="D259" s="98"/>
    </row>
    <row r="260">
      <c r="D260" s="98"/>
    </row>
    <row r="261">
      <c r="D261" s="98"/>
    </row>
    <row r="262">
      <c r="D262" s="98"/>
    </row>
    <row r="263">
      <c r="D263" s="98"/>
    </row>
    <row r="264">
      <c r="D264" s="98"/>
    </row>
    <row r="265">
      <c r="D265" s="98"/>
    </row>
    <row r="266">
      <c r="D266" s="98"/>
    </row>
    <row r="267">
      <c r="D267" s="98"/>
    </row>
    <row r="268">
      <c r="D268" s="98"/>
    </row>
    <row r="269">
      <c r="D269" s="98"/>
    </row>
    <row r="270">
      <c r="D270" s="98"/>
    </row>
    <row r="271">
      <c r="D271" s="98"/>
    </row>
    <row r="272">
      <c r="D272" s="98"/>
    </row>
    <row r="273">
      <c r="D273" s="98"/>
    </row>
    <row r="274">
      <c r="D274" s="98"/>
    </row>
    <row r="275">
      <c r="D275" s="98"/>
    </row>
    <row r="276">
      <c r="D276" s="98"/>
    </row>
    <row r="277">
      <c r="D277" s="98"/>
    </row>
    <row r="278">
      <c r="D278" s="98"/>
    </row>
    <row r="279">
      <c r="D279" s="98"/>
    </row>
    <row r="280">
      <c r="D280" s="98"/>
    </row>
    <row r="281">
      <c r="D281" s="98"/>
    </row>
    <row r="282">
      <c r="D282" s="98"/>
    </row>
    <row r="283">
      <c r="D283" s="98"/>
    </row>
    <row r="284">
      <c r="D284" s="98"/>
    </row>
    <row r="285">
      <c r="D285" s="98"/>
    </row>
    <row r="286">
      <c r="D286" s="98"/>
    </row>
    <row r="287">
      <c r="D287" s="98"/>
    </row>
    <row r="288">
      <c r="D288" s="98"/>
    </row>
    <row r="289">
      <c r="D289" s="98"/>
    </row>
    <row r="290">
      <c r="D290" s="98"/>
    </row>
    <row r="291">
      <c r="D291" s="98"/>
    </row>
    <row r="292">
      <c r="D292" s="98"/>
    </row>
    <row r="293">
      <c r="D293" s="98"/>
    </row>
    <row r="294">
      <c r="D294" s="98"/>
    </row>
    <row r="295">
      <c r="D295" s="98"/>
    </row>
    <row r="296">
      <c r="D296" s="98"/>
    </row>
    <row r="297">
      <c r="D297" s="98"/>
    </row>
    <row r="298">
      <c r="D298" s="98"/>
    </row>
    <row r="299">
      <c r="D299" s="98"/>
    </row>
    <row r="300">
      <c r="D300" s="98"/>
    </row>
    <row r="301">
      <c r="D301" s="98"/>
    </row>
    <row r="302">
      <c r="D302" s="98"/>
    </row>
    <row r="303">
      <c r="D303" s="98"/>
    </row>
    <row r="304">
      <c r="D304" s="98"/>
    </row>
    <row r="305">
      <c r="D305" s="98"/>
    </row>
    <row r="306">
      <c r="D306" s="98"/>
    </row>
    <row r="307">
      <c r="D307" s="98"/>
    </row>
    <row r="308">
      <c r="D308" s="98"/>
    </row>
    <row r="309">
      <c r="D309" s="98"/>
    </row>
    <row r="310">
      <c r="D310" s="98"/>
    </row>
    <row r="311">
      <c r="D311" s="98"/>
    </row>
    <row r="312">
      <c r="D312" s="98"/>
    </row>
    <row r="313">
      <c r="D313" s="98"/>
    </row>
    <row r="314">
      <c r="D314" s="98"/>
    </row>
    <row r="315">
      <c r="D315" s="98"/>
    </row>
    <row r="316">
      <c r="D316" s="98"/>
    </row>
    <row r="317">
      <c r="D317" s="98"/>
    </row>
    <row r="318">
      <c r="D318" s="98"/>
    </row>
    <row r="319">
      <c r="D319" s="98"/>
    </row>
    <row r="320">
      <c r="D320" s="98"/>
    </row>
    <row r="321">
      <c r="D321" s="98"/>
    </row>
    <row r="322">
      <c r="D322" s="98"/>
    </row>
    <row r="323">
      <c r="D323" s="98"/>
    </row>
    <row r="324">
      <c r="D324" s="98"/>
    </row>
    <row r="325">
      <c r="D325" s="98"/>
    </row>
    <row r="326">
      <c r="D326" s="98"/>
    </row>
    <row r="327">
      <c r="D327" s="98"/>
    </row>
    <row r="328">
      <c r="D328" s="98"/>
    </row>
    <row r="329">
      <c r="D329" s="98"/>
    </row>
    <row r="330">
      <c r="D330" s="98"/>
    </row>
    <row r="331">
      <c r="D331" s="98"/>
    </row>
    <row r="332">
      <c r="D332" s="98"/>
    </row>
    <row r="333">
      <c r="D333" s="98"/>
    </row>
    <row r="334">
      <c r="D334" s="98"/>
    </row>
    <row r="335">
      <c r="D335" s="98"/>
    </row>
    <row r="336">
      <c r="D336" s="98"/>
    </row>
    <row r="337">
      <c r="D337" s="98"/>
    </row>
    <row r="338">
      <c r="D338" s="98"/>
    </row>
    <row r="339">
      <c r="D339" s="98"/>
    </row>
    <row r="340">
      <c r="D340" s="98"/>
    </row>
    <row r="341">
      <c r="D341" s="98"/>
    </row>
    <row r="342">
      <c r="D342" s="98"/>
    </row>
    <row r="343">
      <c r="D343" s="98"/>
    </row>
    <row r="344">
      <c r="D344" s="98"/>
    </row>
    <row r="345">
      <c r="D345" s="98"/>
    </row>
    <row r="346">
      <c r="D346" s="98"/>
    </row>
    <row r="347">
      <c r="D347" s="98"/>
    </row>
    <row r="348">
      <c r="D348" s="98"/>
    </row>
    <row r="349">
      <c r="D349" s="98"/>
    </row>
    <row r="350">
      <c r="D350" s="98"/>
    </row>
    <row r="351">
      <c r="D351" s="98"/>
    </row>
    <row r="352">
      <c r="D352" s="98"/>
    </row>
    <row r="353">
      <c r="D353" s="98"/>
    </row>
    <row r="354">
      <c r="D354" s="98"/>
    </row>
    <row r="355">
      <c r="D355" s="98"/>
    </row>
    <row r="356">
      <c r="D356" s="98"/>
    </row>
    <row r="357">
      <c r="D357" s="98"/>
    </row>
    <row r="358">
      <c r="D358" s="98"/>
    </row>
    <row r="359">
      <c r="D359" s="98"/>
    </row>
    <row r="360">
      <c r="D360" s="98"/>
    </row>
    <row r="361">
      <c r="D361" s="98"/>
    </row>
    <row r="362">
      <c r="D362" s="98"/>
    </row>
    <row r="363">
      <c r="D363" s="98"/>
    </row>
    <row r="364">
      <c r="D364" s="98"/>
    </row>
    <row r="365">
      <c r="D365" s="98"/>
    </row>
    <row r="366">
      <c r="D366" s="98"/>
    </row>
    <row r="367">
      <c r="D367" s="98"/>
    </row>
    <row r="368">
      <c r="D368" s="98"/>
    </row>
    <row r="369">
      <c r="D369" s="98"/>
    </row>
    <row r="370">
      <c r="D370" s="98"/>
    </row>
    <row r="371">
      <c r="D371" s="98"/>
    </row>
    <row r="372">
      <c r="D372" s="98"/>
    </row>
    <row r="373">
      <c r="D373" s="98"/>
    </row>
    <row r="374">
      <c r="D374" s="98"/>
    </row>
    <row r="375">
      <c r="D375" s="98"/>
    </row>
    <row r="376">
      <c r="D376" s="98"/>
    </row>
    <row r="377">
      <c r="D377" s="98"/>
    </row>
    <row r="378">
      <c r="D378" s="98"/>
    </row>
    <row r="379">
      <c r="D379" s="98"/>
    </row>
    <row r="380">
      <c r="D380" s="98"/>
    </row>
    <row r="381">
      <c r="D381" s="98"/>
    </row>
    <row r="382">
      <c r="D382" s="98"/>
    </row>
    <row r="383">
      <c r="D383" s="98"/>
    </row>
    <row r="384">
      <c r="D384" s="98"/>
    </row>
    <row r="385">
      <c r="D385" s="98"/>
    </row>
    <row r="386">
      <c r="D386" s="98"/>
    </row>
    <row r="387">
      <c r="D387" s="98"/>
    </row>
    <row r="388">
      <c r="D388" s="98"/>
    </row>
    <row r="389">
      <c r="D389" s="98"/>
    </row>
    <row r="390">
      <c r="D390" s="98"/>
    </row>
    <row r="391">
      <c r="D391" s="98"/>
    </row>
    <row r="392">
      <c r="D392" s="98"/>
    </row>
    <row r="393">
      <c r="D393" s="98"/>
    </row>
    <row r="394">
      <c r="D394" s="98"/>
    </row>
    <row r="395">
      <c r="D395" s="98"/>
    </row>
    <row r="396">
      <c r="D396" s="98"/>
    </row>
    <row r="397">
      <c r="D397" s="98"/>
    </row>
    <row r="398">
      <c r="D398" s="98"/>
    </row>
    <row r="399">
      <c r="D399" s="98"/>
    </row>
    <row r="400">
      <c r="D400" s="98"/>
    </row>
    <row r="401">
      <c r="D401" s="98"/>
    </row>
    <row r="402">
      <c r="D402" s="98"/>
    </row>
    <row r="403">
      <c r="D403" s="98"/>
    </row>
    <row r="404">
      <c r="D404" s="98"/>
    </row>
    <row r="405">
      <c r="D405" s="98"/>
    </row>
    <row r="406">
      <c r="D406" s="98"/>
    </row>
    <row r="407">
      <c r="D407" s="98"/>
    </row>
    <row r="408">
      <c r="D408" s="98"/>
    </row>
    <row r="409">
      <c r="D409" s="98"/>
    </row>
    <row r="410">
      <c r="D410" s="98"/>
    </row>
    <row r="411">
      <c r="D411" s="98"/>
    </row>
    <row r="412">
      <c r="D412" s="98"/>
    </row>
    <row r="413">
      <c r="D413" s="98"/>
    </row>
    <row r="414">
      <c r="D414" s="98"/>
    </row>
    <row r="415">
      <c r="D415" s="98"/>
    </row>
    <row r="416">
      <c r="D416" s="98"/>
    </row>
    <row r="417">
      <c r="D417" s="98"/>
    </row>
    <row r="418">
      <c r="D418" s="98"/>
    </row>
    <row r="419">
      <c r="D419" s="98"/>
    </row>
    <row r="420">
      <c r="D420" s="98"/>
    </row>
    <row r="421">
      <c r="D421" s="98"/>
    </row>
    <row r="422">
      <c r="D422" s="98"/>
    </row>
    <row r="423">
      <c r="D423" s="98"/>
    </row>
    <row r="424">
      <c r="D424" s="98"/>
    </row>
    <row r="425">
      <c r="D425" s="98"/>
    </row>
    <row r="426">
      <c r="D426" s="98"/>
    </row>
    <row r="427">
      <c r="D427" s="98"/>
    </row>
    <row r="428">
      <c r="D428" s="98"/>
    </row>
    <row r="429">
      <c r="D429" s="98"/>
    </row>
    <row r="430">
      <c r="D430" s="98"/>
    </row>
    <row r="431">
      <c r="D431" s="98"/>
    </row>
    <row r="432">
      <c r="D432" s="98"/>
    </row>
    <row r="433">
      <c r="D433" s="98"/>
    </row>
    <row r="434">
      <c r="D434" s="98"/>
    </row>
    <row r="435">
      <c r="D435" s="98"/>
    </row>
    <row r="436">
      <c r="D436" s="98"/>
    </row>
    <row r="437">
      <c r="D437" s="98"/>
    </row>
    <row r="438">
      <c r="D438" s="98"/>
    </row>
    <row r="439">
      <c r="D439" s="98"/>
    </row>
    <row r="440">
      <c r="D440" s="98"/>
    </row>
    <row r="441">
      <c r="D441" s="98"/>
    </row>
    <row r="442">
      <c r="D442" s="98"/>
    </row>
    <row r="443">
      <c r="D443" s="98"/>
    </row>
    <row r="444">
      <c r="D444" s="98"/>
    </row>
    <row r="445">
      <c r="D445" s="98"/>
    </row>
    <row r="446">
      <c r="D446" s="98"/>
    </row>
    <row r="447">
      <c r="D447" s="98"/>
    </row>
    <row r="448">
      <c r="D448" s="98"/>
    </row>
    <row r="449">
      <c r="D449" s="98"/>
    </row>
    <row r="450">
      <c r="D450" s="98"/>
    </row>
    <row r="451">
      <c r="D451" s="98"/>
    </row>
    <row r="452">
      <c r="D452" s="98"/>
    </row>
    <row r="453">
      <c r="D453" s="98"/>
    </row>
    <row r="454">
      <c r="D454" s="98"/>
    </row>
    <row r="455">
      <c r="D455" s="98"/>
    </row>
    <row r="456">
      <c r="D456" s="98"/>
    </row>
    <row r="457">
      <c r="D457" s="98"/>
    </row>
    <row r="458">
      <c r="D458" s="98"/>
    </row>
    <row r="459">
      <c r="D459" s="98"/>
    </row>
    <row r="460">
      <c r="D460" s="98"/>
    </row>
    <row r="461">
      <c r="D461" s="98"/>
    </row>
    <row r="462">
      <c r="D462" s="98"/>
    </row>
    <row r="463">
      <c r="D463" s="98"/>
    </row>
    <row r="464">
      <c r="D464" s="98"/>
    </row>
    <row r="465">
      <c r="D465" s="98"/>
    </row>
    <row r="466">
      <c r="D466" s="98"/>
    </row>
    <row r="467">
      <c r="D467" s="98"/>
    </row>
    <row r="468">
      <c r="D468" s="98"/>
    </row>
    <row r="469">
      <c r="D469" s="98"/>
    </row>
    <row r="470">
      <c r="D470" s="98"/>
    </row>
    <row r="471">
      <c r="D471" s="98"/>
    </row>
    <row r="472">
      <c r="D472" s="98"/>
    </row>
    <row r="473">
      <c r="D473" s="98"/>
    </row>
    <row r="474">
      <c r="D474" s="98"/>
    </row>
    <row r="475">
      <c r="D475" s="98"/>
    </row>
    <row r="476">
      <c r="D476" s="98"/>
    </row>
    <row r="477">
      <c r="D477" s="98"/>
    </row>
    <row r="478">
      <c r="D478" s="98"/>
    </row>
    <row r="479">
      <c r="D479" s="98"/>
    </row>
    <row r="480">
      <c r="D480" s="98"/>
    </row>
    <row r="481">
      <c r="D481" s="98"/>
    </row>
    <row r="482">
      <c r="D482" s="98"/>
    </row>
    <row r="483">
      <c r="D483" s="98"/>
    </row>
    <row r="484">
      <c r="D484" s="98"/>
    </row>
    <row r="485">
      <c r="D485" s="98"/>
    </row>
    <row r="486">
      <c r="D486" s="98"/>
    </row>
    <row r="487">
      <c r="D487" s="98"/>
    </row>
    <row r="488">
      <c r="D488" s="98"/>
    </row>
    <row r="489">
      <c r="D489" s="98"/>
    </row>
    <row r="490">
      <c r="D490" s="98"/>
    </row>
    <row r="491">
      <c r="D491" s="98"/>
    </row>
    <row r="492">
      <c r="D492" s="98"/>
    </row>
    <row r="493">
      <c r="D493" s="98"/>
    </row>
    <row r="494">
      <c r="D494" s="98"/>
    </row>
    <row r="495">
      <c r="D495" s="98"/>
    </row>
    <row r="496">
      <c r="D496" s="98"/>
    </row>
    <row r="497">
      <c r="D497" s="98"/>
    </row>
    <row r="498">
      <c r="D498" s="98"/>
    </row>
    <row r="499">
      <c r="D499" s="98"/>
    </row>
    <row r="500">
      <c r="D500" s="98"/>
    </row>
    <row r="501">
      <c r="D501" s="98"/>
    </row>
    <row r="502">
      <c r="D502" s="98"/>
    </row>
    <row r="503">
      <c r="D503" s="98"/>
    </row>
    <row r="504">
      <c r="D504" s="98"/>
    </row>
    <row r="505">
      <c r="D505" s="98"/>
    </row>
    <row r="506">
      <c r="D506" s="98"/>
    </row>
    <row r="507">
      <c r="D507" s="98"/>
    </row>
    <row r="508">
      <c r="D508" s="98"/>
    </row>
    <row r="509">
      <c r="D509" s="98"/>
    </row>
    <row r="510">
      <c r="D510" s="98"/>
    </row>
    <row r="511">
      <c r="D511" s="98"/>
    </row>
    <row r="512">
      <c r="D512" s="98"/>
    </row>
    <row r="513">
      <c r="D513" s="98"/>
    </row>
    <row r="514">
      <c r="D514" s="98"/>
    </row>
    <row r="515">
      <c r="D515" s="98"/>
    </row>
    <row r="516">
      <c r="D516" s="98"/>
    </row>
    <row r="517">
      <c r="D517" s="98"/>
    </row>
    <row r="518">
      <c r="D518" s="98"/>
    </row>
    <row r="519">
      <c r="D519" s="98"/>
    </row>
    <row r="520">
      <c r="D520" s="98"/>
    </row>
    <row r="521">
      <c r="D521" s="98"/>
    </row>
    <row r="522">
      <c r="D522" s="98"/>
    </row>
    <row r="523">
      <c r="D523" s="98"/>
    </row>
    <row r="524">
      <c r="D524" s="98"/>
    </row>
    <row r="525">
      <c r="D525" s="98"/>
    </row>
    <row r="526">
      <c r="D526" s="98"/>
    </row>
    <row r="527">
      <c r="D527" s="98"/>
    </row>
    <row r="528">
      <c r="D528" s="98"/>
    </row>
    <row r="529">
      <c r="D529" s="98"/>
    </row>
    <row r="530">
      <c r="D530" s="98"/>
    </row>
    <row r="531">
      <c r="D531" s="98"/>
    </row>
    <row r="532">
      <c r="D532" s="98"/>
    </row>
    <row r="533">
      <c r="D533" s="98"/>
    </row>
    <row r="534">
      <c r="D534" s="98"/>
    </row>
    <row r="535">
      <c r="D535" s="98"/>
    </row>
    <row r="536">
      <c r="D536" s="98"/>
    </row>
    <row r="537">
      <c r="D537" s="98"/>
    </row>
    <row r="538">
      <c r="D538" s="98"/>
    </row>
    <row r="539">
      <c r="D539" s="98"/>
    </row>
    <row r="540">
      <c r="D540" s="98"/>
    </row>
    <row r="541">
      <c r="D541" s="98"/>
    </row>
    <row r="542">
      <c r="D542" s="98"/>
    </row>
    <row r="543">
      <c r="D543" s="98"/>
    </row>
    <row r="544">
      <c r="D544" s="98"/>
    </row>
    <row r="545">
      <c r="D545" s="98"/>
    </row>
    <row r="546">
      <c r="D546" s="98"/>
    </row>
    <row r="547">
      <c r="D547" s="98"/>
    </row>
    <row r="548">
      <c r="D548" s="98"/>
    </row>
    <row r="549">
      <c r="D549" s="98"/>
    </row>
    <row r="550">
      <c r="D550" s="98"/>
    </row>
    <row r="551">
      <c r="D551" s="98"/>
    </row>
    <row r="552">
      <c r="D552" s="98"/>
    </row>
    <row r="553">
      <c r="D553" s="98"/>
    </row>
    <row r="554">
      <c r="D554" s="98"/>
    </row>
    <row r="555">
      <c r="D555" s="98"/>
    </row>
    <row r="556">
      <c r="D556" s="98"/>
    </row>
    <row r="557">
      <c r="D557" s="98"/>
    </row>
    <row r="558">
      <c r="D558" s="98"/>
    </row>
    <row r="559">
      <c r="D559" s="98"/>
    </row>
    <row r="560">
      <c r="D560" s="98"/>
    </row>
    <row r="561">
      <c r="D561" s="98"/>
    </row>
    <row r="562">
      <c r="D562" s="98"/>
    </row>
    <row r="563">
      <c r="D563" s="98"/>
    </row>
    <row r="564">
      <c r="D564" s="98"/>
    </row>
    <row r="565">
      <c r="D565" s="98"/>
    </row>
    <row r="566">
      <c r="D566" s="98"/>
    </row>
    <row r="567">
      <c r="D567" s="98"/>
    </row>
    <row r="568">
      <c r="D568" s="98"/>
    </row>
    <row r="569">
      <c r="D569" s="98"/>
    </row>
    <row r="570">
      <c r="D570" s="98"/>
    </row>
    <row r="571">
      <c r="D571" s="98"/>
    </row>
    <row r="572">
      <c r="D572" s="98"/>
    </row>
    <row r="573">
      <c r="D573" s="98"/>
    </row>
    <row r="574">
      <c r="D574" s="98"/>
    </row>
    <row r="575">
      <c r="D575" s="98"/>
    </row>
    <row r="576">
      <c r="D576" s="98"/>
    </row>
    <row r="577">
      <c r="D577" s="98"/>
    </row>
    <row r="578">
      <c r="D578" s="98"/>
    </row>
    <row r="579">
      <c r="D579" s="98"/>
    </row>
    <row r="580">
      <c r="D580" s="98"/>
    </row>
    <row r="581">
      <c r="D581" s="98"/>
    </row>
    <row r="582">
      <c r="D582" s="98"/>
    </row>
    <row r="583">
      <c r="D583" s="98"/>
    </row>
    <row r="584">
      <c r="D584" s="98"/>
    </row>
    <row r="585">
      <c r="D585" s="98"/>
    </row>
    <row r="586">
      <c r="D586" s="98"/>
    </row>
    <row r="587">
      <c r="D587" s="98"/>
    </row>
    <row r="588">
      <c r="D588" s="98"/>
    </row>
    <row r="589">
      <c r="D589" s="98"/>
    </row>
    <row r="590">
      <c r="D590" s="98"/>
    </row>
    <row r="591">
      <c r="D591" s="98"/>
    </row>
    <row r="592">
      <c r="D592" s="98"/>
    </row>
    <row r="593">
      <c r="D593" s="98"/>
    </row>
    <row r="594">
      <c r="D594" s="98"/>
    </row>
    <row r="595">
      <c r="D595" s="98"/>
    </row>
    <row r="596">
      <c r="D596" s="98"/>
    </row>
    <row r="597">
      <c r="D597" s="98"/>
    </row>
    <row r="598">
      <c r="D598" s="98"/>
    </row>
    <row r="599">
      <c r="D599" s="98"/>
    </row>
    <row r="600">
      <c r="D600" s="98"/>
    </row>
    <row r="601">
      <c r="D601" s="98"/>
    </row>
    <row r="602">
      <c r="D602" s="98"/>
    </row>
    <row r="603">
      <c r="D603" s="98"/>
    </row>
    <row r="604">
      <c r="D604" s="98"/>
    </row>
    <row r="605">
      <c r="D605" s="98"/>
    </row>
    <row r="606">
      <c r="D606" s="98"/>
    </row>
    <row r="607">
      <c r="D607" s="98"/>
    </row>
    <row r="608">
      <c r="D608" s="98"/>
    </row>
    <row r="609">
      <c r="D609" s="98"/>
    </row>
    <row r="610">
      <c r="D610" s="98"/>
    </row>
    <row r="611">
      <c r="D611" s="98"/>
    </row>
    <row r="612">
      <c r="D612" s="98"/>
    </row>
    <row r="613">
      <c r="D613" s="98"/>
    </row>
    <row r="614">
      <c r="D614" s="98"/>
    </row>
    <row r="615">
      <c r="D615" s="98"/>
    </row>
    <row r="616">
      <c r="D616" s="98"/>
    </row>
    <row r="617">
      <c r="D617" s="98"/>
    </row>
    <row r="618">
      <c r="D618" s="98"/>
    </row>
    <row r="619">
      <c r="D619" s="98"/>
    </row>
    <row r="620">
      <c r="D620" s="98"/>
    </row>
    <row r="621">
      <c r="D621" s="98"/>
    </row>
    <row r="622">
      <c r="D622" s="98"/>
    </row>
    <row r="623">
      <c r="D623" s="98"/>
    </row>
    <row r="624">
      <c r="D624" s="98"/>
    </row>
    <row r="625">
      <c r="D625" s="98"/>
    </row>
    <row r="626">
      <c r="D626" s="98"/>
    </row>
    <row r="627">
      <c r="D627" s="98"/>
    </row>
    <row r="628">
      <c r="D628" s="98"/>
    </row>
    <row r="629">
      <c r="D629" s="98"/>
    </row>
    <row r="630">
      <c r="D630" s="98"/>
    </row>
    <row r="631">
      <c r="D631" s="98"/>
    </row>
    <row r="632">
      <c r="D632" s="98"/>
    </row>
    <row r="633">
      <c r="D633" s="98"/>
    </row>
    <row r="634">
      <c r="D634" s="98"/>
    </row>
    <row r="635">
      <c r="D635" s="98"/>
    </row>
    <row r="636">
      <c r="D636" s="98"/>
    </row>
    <row r="637">
      <c r="D637" s="98"/>
    </row>
    <row r="638">
      <c r="D638" s="98"/>
    </row>
    <row r="639">
      <c r="D639" s="98"/>
    </row>
    <row r="640">
      <c r="D640" s="98"/>
    </row>
    <row r="641">
      <c r="D641" s="98"/>
    </row>
    <row r="642">
      <c r="D642" s="98"/>
    </row>
    <row r="643">
      <c r="D643" s="98"/>
    </row>
    <row r="644">
      <c r="D644" s="98"/>
    </row>
    <row r="645">
      <c r="D645" s="98"/>
    </row>
    <row r="646">
      <c r="D646" s="98"/>
    </row>
    <row r="647">
      <c r="D647" s="98"/>
    </row>
    <row r="648">
      <c r="D648" s="98"/>
    </row>
    <row r="649">
      <c r="D649" s="98"/>
    </row>
    <row r="650">
      <c r="D650" s="98"/>
    </row>
    <row r="651">
      <c r="D651" s="98"/>
    </row>
    <row r="652">
      <c r="D652" s="98"/>
    </row>
    <row r="653">
      <c r="D653" s="98"/>
    </row>
    <row r="654">
      <c r="D654" s="98"/>
    </row>
    <row r="655">
      <c r="D655" s="98"/>
    </row>
    <row r="656">
      <c r="D656" s="98"/>
    </row>
    <row r="657">
      <c r="D657" s="98"/>
    </row>
    <row r="658">
      <c r="D658" s="98"/>
    </row>
    <row r="659">
      <c r="D659" s="98"/>
    </row>
    <row r="660">
      <c r="D660" s="98"/>
    </row>
    <row r="661">
      <c r="D661" s="98"/>
    </row>
    <row r="662">
      <c r="D662" s="98"/>
    </row>
    <row r="663">
      <c r="D663" s="98"/>
    </row>
    <row r="664">
      <c r="D664" s="98"/>
    </row>
    <row r="665">
      <c r="D665" s="98"/>
    </row>
    <row r="666">
      <c r="D666" s="98"/>
    </row>
    <row r="667">
      <c r="D667" s="98"/>
    </row>
    <row r="668">
      <c r="D668" s="98"/>
    </row>
    <row r="669">
      <c r="D669" s="98"/>
    </row>
    <row r="670">
      <c r="D670" s="98"/>
    </row>
    <row r="671">
      <c r="D671" s="98"/>
    </row>
    <row r="672">
      <c r="D672" s="98"/>
    </row>
    <row r="673">
      <c r="D673" s="98"/>
    </row>
    <row r="674">
      <c r="D674" s="98"/>
    </row>
    <row r="675">
      <c r="D675" s="98"/>
    </row>
    <row r="676">
      <c r="D676" s="98"/>
    </row>
    <row r="677">
      <c r="D677" s="98"/>
    </row>
    <row r="678">
      <c r="D678" s="98"/>
    </row>
    <row r="679">
      <c r="D679" s="98"/>
    </row>
    <row r="680">
      <c r="D680" s="98"/>
    </row>
    <row r="681">
      <c r="D681" s="98"/>
    </row>
    <row r="682">
      <c r="D682" s="98"/>
    </row>
    <row r="683">
      <c r="D683" s="98"/>
    </row>
    <row r="684">
      <c r="D684" s="98"/>
    </row>
    <row r="685">
      <c r="D685" s="98"/>
    </row>
    <row r="686">
      <c r="D686" s="98"/>
    </row>
    <row r="687">
      <c r="D687" s="98"/>
    </row>
    <row r="688">
      <c r="D688" s="98"/>
    </row>
    <row r="689">
      <c r="D689" s="98"/>
    </row>
    <row r="690">
      <c r="D690" s="98"/>
    </row>
    <row r="691">
      <c r="D691" s="98"/>
    </row>
    <row r="692">
      <c r="D692" s="98"/>
    </row>
    <row r="693">
      <c r="D693" s="98"/>
    </row>
    <row r="694">
      <c r="D694" s="98"/>
    </row>
    <row r="695">
      <c r="D695" s="98"/>
    </row>
    <row r="696">
      <c r="D696" s="98"/>
    </row>
    <row r="697">
      <c r="D697" s="98"/>
    </row>
    <row r="698">
      <c r="D698" s="98"/>
    </row>
    <row r="699">
      <c r="D699" s="98"/>
    </row>
    <row r="700">
      <c r="D700" s="98"/>
    </row>
    <row r="701">
      <c r="D701" s="98"/>
    </row>
    <row r="702">
      <c r="D702" s="98"/>
    </row>
    <row r="703">
      <c r="D703" s="98"/>
    </row>
    <row r="704">
      <c r="D704" s="98"/>
    </row>
    <row r="705">
      <c r="D705" s="98"/>
    </row>
    <row r="706">
      <c r="D706" s="98"/>
    </row>
    <row r="707">
      <c r="D707" s="98"/>
    </row>
    <row r="708">
      <c r="D708" s="98"/>
    </row>
    <row r="709">
      <c r="D709" s="98"/>
    </row>
    <row r="710">
      <c r="D710" s="98"/>
    </row>
    <row r="711">
      <c r="D711" s="98"/>
    </row>
    <row r="712">
      <c r="D712" s="98"/>
    </row>
    <row r="713">
      <c r="D713" s="98"/>
    </row>
    <row r="714">
      <c r="D714" s="98"/>
    </row>
    <row r="715">
      <c r="D715" s="98"/>
    </row>
    <row r="716">
      <c r="D716" s="98"/>
    </row>
    <row r="717">
      <c r="D717" s="98"/>
    </row>
    <row r="718">
      <c r="D718" s="98"/>
    </row>
    <row r="719">
      <c r="D719" s="98"/>
    </row>
    <row r="720">
      <c r="D720" s="98"/>
    </row>
    <row r="721">
      <c r="D721" s="98"/>
    </row>
    <row r="722">
      <c r="D722" s="98"/>
    </row>
    <row r="723">
      <c r="D723" s="98"/>
    </row>
    <row r="724">
      <c r="D724" s="98"/>
    </row>
    <row r="725">
      <c r="D725" s="98"/>
    </row>
    <row r="726">
      <c r="D726" s="98"/>
    </row>
    <row r="727">
      <c r="D727" s="98"/>
    </row>
    <row r="728">
      <c r="D728" s="98"/>
    </row>
    <row r="729">
      <c r="D729" s="98"/>
    </row>
    <row r="730">
      <c r="D730" s="98"/>
    </row>
    <row r="731">
      <c r="D731" s="98"/>
    </row>
    <row r="732">
      <c r="D732" s="98"/>
    </row>
    <row r="733">
      <c r="D733" s="98"/>
    </row>
    <row r="734">
      <c r="D734" s="98"/>
    </row>
    <row r="735">
      <c r="D735" s="98"/>
    </row>
    <row r="736">
      <c r="D736" s="98"/>
    </row>
    <row r="737">
      <c r="D737" s="98"/>
    </row>
    <row r="738">
      <c r="D738" s="98"/>
    </row>
    <row r="739">
      <c r="D739" s="98"/>
    </row>
    <row r="740">
      <c r="D740" s="98"/>
    </row>
    <row r="741">
      <c r="D741" s="98"/>
    </row>
    <row r="742">
      <c r="D742" s="98"/>
    </row>
    <row r="743">
      <c r="D743" s="98"/>
    </row>
    <row r="744">
      <c r="D744" s="98"/>
    </row>
    <row r="745">
      <c r="D745" s="98"/>
    </row>
    <row r="746">
      <c r="D746" s="98"/>
    </row>
    <row r="747">
      <c r="D747" s="98"/>
    </row>
    <row r="748">
      <c r="D748" s="98"/>
    </row>
    <row r="749">
      <c r="D749" s="98"/>
    </row>
    <row r="750">
      <c r="D750" s="98"/>
    </row>
    <row r="751">
      <c r="D751" s="98"/>
    </row>
    <row r="752">
      <c r="D752" s="98"/>
    </row>
    <row r="753">
      <c r="D753" s="98"/>
    </row>
    <row r="754">
      <c r="D754" s="98"/>
    </row>
    <row r="755">
      <c r="D755" s="98"/>
    </row>
    <row r="756">
      <c r="D756" s="98"/>
    </row>
    <row r="757">
      <c r="D757" s="98"/>
    </row>
    <row r="758">
      <c r="D758" s="98"/>
    </row>
    <row r="759">
      <c r="D759" s="98"/>
    </row>
    <row r="760">
      <c r="D760" s="98"/>
    </row>
    <row r="761">
      <c r="D761" s="98"/>
    </row>
    <row r="762">
      <c r="D762" s="98"/>
    </row>
    <row r="763">
      <c r="D763" s="98"/>
    </row>
    <row r="764">
      <c r="D764" s="98"/>
    </row>
    <row r="765">
      <c r="D765" s="98"/>
    </row>
    <row r="766">
      <c r="D766" s="98"/>
    </row>
    <row r="767">
      <c r="D767" s="98"/>
    </row>
    <row r="768">
      <c r="D768" s="98"/>
    </row>
    <row r="769">
      <c r="D769" s="98"/>
    </row>
    <row r="770">
      <c r="D770" s="98"/>
    </row>
    <row r="771">
      <c r="D771" s="98"/>
    </row>
    <row r="772">
      <c r="D772" s="98"/>
    </row>
    <row r="773">
      <c r="D773" s="98"/>
    </row>
    <row r="774">
      <c r="D774" s="98"/>
    </row>
    <row r="775">
      <c r="D775" s="98"/>
    </row>
    <row r="776">
      <c r="D776" s="98"/>
    </row>
    <row r="777">
      <c r="D777" s="98"/>
    </row>
    <row r="778">
      <c r="D778" s="98"/>
    </row>
    <row r="779">
      <c r="D779" s="98"/>
    </row>
    <row r="780">
      <c r="D780" s="98"/>
    </row>
    <row r="781">
      <c r="D781" s="98"/>
    </row>
    <row r="782">
      <c r="D782" s="98"/>
    </row>
    <row r="783">
      <c r="D783" s="98"/>
    </row>
    <row r="784">
      <c r="D784" s="98"/>
    </row>
    <row r="785">
      <c r="D785" s="98"/>
    </row>
    <row r="786">
      <c r="D786" s="98"/>
    </row>
    <row r="787">
      <c r="D787" s="98"/>
    </row>
    <row r="788">
      <c r="D788" s="98"/>
    </row>
    <row r="789">
      <c r="D789" s="98"/>
    </row>
    <row r="790">
      <c r="D790" s="98"/>
    </row>
    <row r="791">
      <c r="D791" s="98"/>
    </row>
    <row r="792">
      <c r="D792" s="98"/>
    </row>
    <row r="793">
      <c r="D793" s="98"/>
    </row>
    <row r="794">
      <c r="D794" s="98"/>
    </row>
    <row r="795">
      <c r="D795" s="98"/>
    </row>
    <row r="796">
      <c r="D796" s="98"/>
    </row>
    <row r="797">
      <c r="D797" s="98"/>
    </row>
    <row r="798">
      <c r="D798" s="98"/>
    </row>
    <row r="799">
      <c r="D799" s="98"/>
    </row>
    <row r="800">
      <c r="D800" s="98"/>
    </row>
    <row r="801">
      <c r="D801" s="98"/>
    </row>
    <row r="802">
      <c r="D802" s="98"/>
    </row>
    <row r="803">
      <c r="D803" s="98"/>
    </row>
    <row r="804">
      <c r="D804" s="98"/>
    </row>
    <row r="805">
      <c r="D805" s="98"/>
    </row>
    <row r="806">
      <c r="D806" s="98"/>
    </row>
    <row r="807">
      <c r="D807" s="98"/>
    </row>
    <row r="808">
      <c r="D808" s="98"/>
    </row>
    <row r="809">
      <c r="D809" s="98"/>
    </row>
    <row r="810">
      <c r="D810" s="98"/>
    </row>
    <row r="811">
      <c r="D811" s="98"/>
    </row>
    <row r="812">
      <c r="D812" s="98"/>
    </row>
    <row r="813">
      <c r="D813" s="98"/>
    </row>
    <row r="814">
      <c r="D814" s="98"/>
    </row>
    <row r="815">
      <c r="D815" s="98"/>
    </row>
    <row r="816">
      <c r="D816" s="98"/>
    </row>
    <row r="817">
      <c r="D817" s="98"/>
    </row>
    <row r="818">
      <c r="D818" s="98"/>
    </row>
    <row r="819">
      <c r="D819" s="98"/>
    </row>
    <row r="820">
      <c r="D820" s="98"/>
    </row>
    <row r="821">
      <c r="D821" s="98"/>
    </row>
    <row r="822">
      <c r="D822" s="98"/>
    </row>
    <row r="823">
      <c r="D823" s="98"/>
    </row>
    <row r="824">
      <c r="D824" s="98"/>
    </row>
    <row r="825">
      <c r="D825" s="98"/>
    </row>
    <row r="826">
      <c r="D826" s="98"/>
    </row>
    <row r="827">
      <c r="D827" s="98"/>
    </row>
    <row r="828">
      <c r="D828" s="98"/>
    </row>
    <row r="829">
      <c r="D829" s="98"/>
    </row>
    <row r="830">
      <c r="D830" s="98"/>
    </row>
    <row r="831">
      <c r="D831" s="98"/>
    </row>
    <row r="832">
      <c r="D832" s="98"/>
    </row>
    <row r="833">
      <c r="D833" s="98"/>
    </row>
    <row r="834">
      <c r="D834" s="98"/>
    </row>
    <row r="835">
      <c r="D835" s="98"/>
    </row>
    <row r="836">
      <c r="D836" s="98"/>
    </row>
    <row r="837">
      <c r="D837" s="98"/>
    </row>
    <row r="838">
      <c r="D838" s="98"/>
    </row>
    <row r="839">
      <c r="D839" s="98"/>
    </row>
    <row r="840">
      <c r="D840" s="98"/>
    </row>
    <row r="841">
      <c r="D841" s="98"/>
    </row>
    <row r="842">
      <c r="D842" s="98"/>
    </row>
    <row r="843">
      <c r="D843" s="98"/>
    </row>
    <row r="844">
      <c r="D844" s="98"/>
    </row>
    <row r="845">
      <c r="D845" s="98"/>
    </row>
    <row r="846">
      <c r="D846" s="98"/>
    </row>
    <row r="847">
      <c r="D847" s="98"/>
    </row>
    <row r="848">
      <c r="D848" s="98"/>
    </row>
    <row r="849">
      <c r="D849" s="98"/>
    </row>
    <row r="850">
      <c r="D850" s="98"/>
    </row>
    <row r="851">
      <c r="D851" s="98"/>
    </row>
    <row r="852">
      <c r="D852" s="98"/>
    </row>
    <row r="853">
      <c r="D853" s="98"/>
    </row>
    <row r="854">
      <c r="D854" s="98"/>
    </row>
    <row r="855">
      <c r="D855" s="98"/>
    </row>
    <row r="856">
      <c r="D856" s="98"/>
    </row>
    <row r="857">
      <c r="D857" s="98"/>
    </row>
    <row r="858">
      <c r="D858" s="98"/>
    </row>
    <row r="859">
      <c r="D859" s="98"/>
    </row>
    <row r="860">
      <c r="D860" s="98"/>
    </row>
    <row r="861">
      <c r="D861" s="98"/>
    </row>
    <row r="862">
      <c r="D862" s="98"/>
    </row>
    <row r="863">
      <c r="D863" s="98"/>
    </row>
    <row r="864">
      <c r="D864" s="98"/>
    </row>
    <row r="865">
      <c r="D865" s="98"/>
    </row>
    <row r="866">
      <c r="D866" s="98"/>
    </row>
    <row r="867">
      <c r="D867" s="98"/>
    </row>
    <row r="868">
      <c r="D868" s="98"/>
    </row>
    <row r="869">
      <c r="D869" s="98"/>
    </row>
    <row r="870">
      <c r="D870" s="98"/>
    </row>
    <row r="871">
      <c r="D871" s="98"/>
    </row>
    <row r="872">
      <c r="D872" s="98"/>
    </row>
    <row r="873">
      <c r="D873" s="98"/>
    </row>
    <row r="874">
      <c r="D874" s="98"/>
    </row>
    <row r="875">
      <c r="D875" s="98"/>
    </row>
    <row r="876">
      <c r="D876" s="98"/>
    </row>
    <row r="877">
      <c r="D877" s="98"/>
    </row>
    <row r="878">
      <c r="D878" s="98"/>
    </row>
    <row r="879">
      <c r="D879" s="98"/>
    </row>
    <row r="880">
      <c r="D880" s="98"/>
    </row>
    <row r="881">
      <c r="D881" s="98"/>
    </row>
    <row r="882">
      <c r="D882" s="98"/>
    </row>
    <row r="883">
      <c r="D883" s="98"/>
    </row>
    <row r="884">
      <c r="D884" s="98"/>
    </row>
    <row r="885">
      <c r="D885" s="98"/>
    </row>
    <row r="886">
      <c r="D886" s="98"/>
    </row>
    <row r="887">
      <c r="D887" s="98"/>
    </row>
    <row r="888">
      <c r="D888" s="98"/>
    </row>
    <row r="889">
      <c r="D889" s="98"/>
    </row>
    <row r="890">
      <c r="D890" s="98"/>
    </row>
    <row r="891">
      <c r="D891" s="98"/>
    </row>
    <row r="892">
      <c r="D892" s="98"/>
    </row>
    <row r="893">
      <c r="D893" s="98"/>
    </row>
    <row r="894">
      <c r="D894" s="98"/>
    </row>
    <row r="895">
      <c r="D895" s="98"/>
    </row>
    <row r="896">
      <c r="D896" s="98"/>
    </row>
    <row r="897">
      <c r="D897" s="98"/>
    </row>
    <row r="898">
      <c r="D898" s="98"/>
    </row>
    <row r="899">
      <c r="D899" s="98"/>
    </row>
    <row r="900">
      <c r="D900" s="98"/>
    </row>
    <row r="901">
      <c r="D901" s="98"/>
    </row>
    <row r="902">
      <c r="D902" s="98"/>
    </row>
    <row r="903">
      <c r="D903" s="98"/>
    </row>
    <row r="904">
      <c r="D904" s="98"/>
    </row>
    <row r="905">
      <c r="D905" s="98"/>
    </row>
    <row r="906">
      <c r="D906" s="98"/>
    </row>
    <row r="907">
      <c r="D907" s="98"/>
    </row>
    <row r="908">
      <c r="D908" s="98"/>
    </row>
    <row r="909">
      <c r="D909" s="98"/>
    </row>
    <row r="910">
      <c r="D910" s="98"/>
    </row>
    <row r="911">
      <c r="D911" s="98"/>
    </row>
    <row r="912">
      <c r="D912" s="98"/>
    </row>
    <row r="913">
      <c r="D913" s="98"/>
    </row>
    <row r="914">
      <c r="D914" s="98"/>
    </row>
    <row r="915">
      <c r="D915" s="98"/>
    </row>
    <row r="916">
      <c r="D916" s="98"/>
    </row>
    <row r="917">
      <c r="D917" s="98"/>
    </row>
    <row r="918">
      <c r="D918" s="98"/>
    </row>
    <row r="919">
      <c r="D919" s="98"/>
    </row>
    <row r="920">
      <c r="D920" s="98"/>
    </row>
    <row r="921">
      <c r="D921" s="98"/>
    </row>
    <row r="922">
      <c r="D922" s="98"/>
    </row>
    <row r="923">
      <c r="D923" s="98"/>
    </row>
    <row r="924">
      <c r="D924" s="98"/>
    </row>
    <row r="925">
      <c r="D925" s="98"/>
    </row>
    <row r="926">
      <c r="D926" s="98"/>
    </row>
    <row r="927">
      <c r="D927" s="98"/>
    </row>
    <row r="928">
      <c r="D928" s="98"/>
    </row>
    <row r="929">
      <c r="D929" s="98"/>
    </row>
    <row r="930">
      <c r="D930" s="98"/>
    </row>
    <row r="931">
      <c r="D931" s="98"/>
    </row>
    <row r="932">
      <c r="D932" s="98"/>
    </row>
    <row r="933">
      <c r="D933" s="98"/>
    </row>
    <row r="934">
      <c r="D934" s="98"/>
    </row>
    <row r="935">
      <c r="D935" s="98"/>
    </row>
    <row r="936">
      <c r="D936" s="98"/>
    </row>
    <row r="937">
      <c r="D937" s="98"/>
    </row>
    <row r="938">
      <c r="D938" s="98"/>
    </row>
    <row r="939">
      <c r="D939" s="98"/>
    </row>
    <row r="940">
      <c r="D940" s="98"/>
    </row>
    <row r="941">
      <c r="D941" s="98"/>
    </row>
    <row r="942">
      <c r="D942" s="98"/>
    </row>
  </sheetData>
  <mergeCells count="12">
    <mergeCell ref="G107:G126"/>
    <mergeCell ref="G128:G148"/>
    <mergeCell ref="G154:G160"/>
    <mergeCell ref="G162:G165"/>
    <mergeCell ref="G167:G175"/>
    <mergeCell ref="A1:J1"/>
    <mergeCell ref="A5:J5"/>
    <mergeCell ref="G6:G20"/>
    <mergeCell ref="G22:G31"/>
    <mergeCell ref="G33:G51"/>
    <mergeCell ref="G53:G69"/>
    <mergeCell ref="G85:G104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5.13"/>
    <col customWidth="1" min="3" max="3" width="33.63"/>
    <col customWidth="1" min="4" max="4" width="26.88"/>
  </cols>
  <sheetData>
    <row r="1">
      <c r="A1" s="206" t="s">
        <v>867</v>
      </c>
      <c r="B1" s="111"/>
      <c r="C1" s="111"/>
      <c r="D1" s="111"/>
      <c r="E1" s="111"/>
      <c r="F1" s="111"/>
      <c r="G1" s="111"/>
      <c r="H1" s="112"/>
    </row>
    <row r="2">
      <c r="A2" s="91" t="s">
        <v>781</v>
      </c>
      <c r="B2" s="91" t="s">
        <v>776</v>
      </c>
      <c r="C2" s="91" t="s">
        <v>868</v>
      </c>
      <c r="D2" s="91"/>
      <c r="E2" s="91" t="s">
        <v>869</v>
      </c>
      <c r="F2" s="91"/>
      <c r="G2" s="91"/>
      <c r="H2" s="91"/>
    </row>
    <row r="3">
      <c r="A3" s="207"/>
      <c r="B3" s="111"/>
      <c r="C3" s="111"/>
      <c r="D3" s="111"/>
      <c r="E3" s="111"/>
      <c r="F3" s="111"/>
      <c r="G3" s="111"/>
      <c r="H3" s="112"/>
    </row>
    <row r="4">
      <c r="A4" s="208"/>
      <c r="C4" s="69" t="s">
        <v>870</v>
      </c>
      <c r="E4" s="209"/>
      <c r="F4" s="210"/>
      <c r="G4" s="210"/>
    </row>
    <row r="5">
      <c r="C5" s="69" t="s">
        <v>871</v>
      </c>
      <c r="E5" s="209"/>
      <c r="F5" s="210"/>
      <c r="G5" s="210"/>
    </row>
    <row r="6">
      <c r="C6" s="69" t="s">
        <v>872</v>
      </c>
      <c r="E6" s="209"/>
      <c r="F6" s="209"/>
      <c r="G6" s="209"/>
    </row>
    <row r="7">
      <c r="C7" s="69" t="s">
        <v>873</v>
      </c>
      <c r="E7" s="209"/>
      <c r="F7" s="209"/>
      <c r="G7" s="209"/>
    </row>
    <row r="8">
      <c r="C8" s="69" t="s">
        <v>874</v>
      </c>
      <c r="E8" s="209"/>
      <c r="F8" s="209"/>
      <c r="G8" s="209"/>
    </row>
    <row r="9">
      <c r="C9" s="69" t="s">
        <v>875</v>
      </c>
      <c r="E9" s="209"/>
      <c r="F9" s="209"/>
      <c r="G9" s="209"/>
    </row>
    <row r="10">
      <c r="E10" s="209"/>
      <c r="F10" s="209"/>
      <c r="G10" s="209"/>
    </row>
    <row r="11">
      <c r="E11" s="209"/>
      <c r="F11" s="209"/>
      <c r="G11" s="209"/>
    </row>
    <row r="12">
      <c r="E12" s="209"/>
      <c r="F12" s="209"/>
      <c r="G12" s="209"/>
    </row>
    <row r="13">
      <c r="E13" s="209"/>
      <c r="F13" s="209"/>
      <c r="G13" s="209"/>
    </row>
    <row r="14">
      <c r="E14" s="209"/>
      <c r="F14" s="209"/>
      <c r="G14" s="209"/>
    </row>
    <row r="15">
      <c r="E15" s="209"/>
      <c r="F15" s="209"/>
      <c r="G15" s="209"/>
    </row>
    <row r="16">
      <c r="B16" s="191"/>
      <c r="E16" s="209"/>
      <c r="F16" s="209"/>
      <c r="G16" s="209"/>
    </row>
    <row r="17">
      <c r="E17" s="209"/>
      <c r="F17" s="209"/>
      <c r="G17" s="209"/>
    </row>
    <row r="18">
      <c r="B18" s="191"/>
      <c r="E18" s="209"/>
      <c r="F18" s="209"/>
      <c r="G18" s="209"/>
    </row>
    <row r="19">
      <c r="B19" s="191"/>
      <c r="E19" s="209"/>
      <c r="F19" s="209"/>
      <c r="G19" s="210"/>
    </row>
    <row r="20">
      <c r="E20" s="209"/>
      <c r="F20" s="209"/>
      <c r="G20" s="210"/>
    </row>
    <row r="21">
      <c r="E21" s="209"/>
      <c r="F21" s="209"/>
      <c r="G21" s="210"/>
    </row>
    <row r="22">
      <c r="E22" s="211"/>
      <c r="F22" s="209"/>
      <c r="G22" s="209"/>
    </row>
    <row r="23">
      <c r="E23" s="210"/>
      <c r="F23" s="210"/>
      <c r="G23" s="209"/>
    </row>
    <row r="24">
      <c r="E24" s="210"/>
      <c r="F24" s="210"/>
      <c r="G24" s="210"/>
    </row>
    <row r="25">
      <c r="E25" s="209"/>
      <c r="F25" s="209"/>
      <c r="G25" s="209"/>
    </row>
    <row r="26">
      <c r="E26" s="209"/>
      <c r="F26" s="210"/>
      <c r="G26" s="210"/>
    </row>
    <row r="27">
      <c r="E27" s="209"/>
      <c r="F27" s="210"/>
      <c r="G27" s="210"/>
    </row>
    <row r="28">
      <c r="E28" s="209"/>
      <c r="F28" s="210"/>
      <c r="G28" s="210"/>
    </row>
    <row r="29">
      <c r="E29" s="209"/>
      <c r="F29" s="209"/>
      <c r="G29" s="209"/>
    </row>
    <row r="30">
      <c r="E30" s="209"/>
      <c r="F30" s="209"/>
      <c r="G30" s="209"/>
    </row>
    <row r="31">
      <c r="E31" s="209"/>
      <c r="F31" s="209"/>
      <c r="G31" s="209"/>
    </row>
    <row r="32">
      <c r="E32" s="209"/>
      <c r="F32" s="209"/>
      <c r="G32" s="210"/>
    </row>
    <row r="33">
      <c r="E33" s="210"/>
      <c r="F33" s="210"/>
      <c r="G33" s="210"/>
    </row>
    <row r="34">
      <c r="E34" s="210"/>
      <c r="F34" s="210"/>
      <c r="G34" s="210"/>
    </row>
    <row r="35">
      <c r="E35" s="210"/>
      <c r="F35" s="210"/>
      <c r="G35" s="210"/>
    </row>
    <row r="36">
      <c r="E36" s="210"/>
      <c r="F36" s="210"/>
      <c r="G36" s="210"/>
    </row>
    <row r="37">
      <c r="E37" s="210"/>
      <c r="F37" s="210"/>
      <c r="G37" s="210"/>
    </row>
    <row r="38">
      <c r="E38" s="210"/>
      <c r="F38" s="210"/>
      <c r="G38" s="210"/>
    </row>
  </sheetData>
  <mergeCells count="3">
    <mergeCell ref="A1:H1"/>
    <mergeCell ref="A3:H3"/>
    <mergeCell ref="A4:A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7.63"/>
    <col customWidth="1" min="3" max="3" width="29.38"/>
    <col customWidth="1" min="4" max="4" width="43.25"/>
    <col customWidth="1" min="5" max="5" width="18.13"/>
    <col customWidth="1" min="6" max="6" width="32.0"/>
    <col customWidth="1" min="7" max="7" width="29.63"/>
  </cols>
  <sheetData>
    <row r="3">
      <c r="B3" s="206" t="s">
        <v>876</v>
      </c>
      <c r="C3" s="111"/>
      <c r="D3" s="111"/>
      <c r="E3" s="111"/>
      <c r="F3" s="111"/>
      <c r="G3" s="111"/>
      <c r="H3" s="111"/>
      <c r="I3" s="112"/>
    </row>
    <row r="4">
      <c r="B4" s="91" t="s">
        <v>877</v>
      </c>
      <c r="C4" s="91"/>
      <c r="D4" s="91"/>
      <c r="E4" s="91"/>
      <c r="F4" s="91"/>
      <c r="G4" s="91"/>
      <c r="H4" s="91"/>
      <c r="I4" s="91"/>
    </row>
    <row r="5">
      <c r="B5" s="207"/>
      <c r="C5" s="212" t="s">
        <v>878</v>
      </c>
      <c r="D5" s="212" t="s">
        <v>879</v>
      </c>
      <c r="E5" s="212" t="s">
        <v>880</v>
      </c>
      <c r="F5" s="212" t="s">
        <v>881</v>
      </c>
      <c r="G5" s="212" t="s">
        <v>882</v>
      </c>
      <c r="H5" s="212"/>
      <c r="I5" s="213"/>
    </row>
    <row r="6">
      <c r="C6" s="145" t="s">
        <v>883</v>
      </c>
      <c r="D6" s="214" t="s">
        <v>884</v>
      </c>
    </row>
    <row r="7">
      <c r="C7" s="145" t="s">
        <v>883</v>
      </c>
      <c r="D7" s="214" t="s">
        <v>885</v>
      </c>
    </row>
    <row r="8">
      <c r="C8" s="145" t="s">
        <v>883</v>
      </c>
      <c r="D8" s="214" t="s">
        <v>886</v>
      </c>
    </row>
    <row r="9">
      <c r="C9" s="145" t="s">
        <v>883</v>
      </c>
      <c r="D9" s="69" t="s">
        <v>887</v>
      </c>
    </row>
    <row r="10">
      <c r="C10" s="145" t="s">
        <v>883</v>
      </c>
      <c r="D10" s="69" t="s">
        <v>888</v>
      </c>
    </row>
    <row r="11">
      <c r="C11" s="145" t="s">
        <v>883</v>
      </c>
      <c r="D11" s="69" t="s">
        <v>889</v>
      </c>
    </row>
    <row r="12">
      <c r="C12" s="145" t="s">
        <v>883</v>
      </c>
      <c r="D12" s="69" t="s">
        <v>890</v>
      </c>
    </row>
    <row r="13">
      <c r="C13" s="145" t="s">
        <v>883</v>
      </c>
      <c r="D13" s="69" t="s">
        <v>891</v>
      </c>
    </row>
    <row r="14">
      <c r="C14" s="145" t="s">
        <v>883</v>
      </c>
      <c r="D14" s="69" t="s">
        <v>892</v>
      </c>
    </row>
    <row r="15">
      <c r="C15" s="145" t="s">
        <v>883</v>
      </c>
      <c r="D15" s="69" t="s">
        <v>893</v>
      </c>
    </row>
    <row r="16">
      <c r="C16" s="145" t="s">
        <v>883</v>
      </c>
      <c r="D16" s="69" t="s">
        <v>894</v>
      </c>
    </row>
    <row r="17">
      <c r="C17" s="145" t="s">
        <v>883</v>
      </c>
      <c r="D17" s="69" t="s">
        <v>895</v>
      </c>
    </row>
    <row r="18">
      <c r="C18" s="145" t="s">
        <v>883</v>
      </c>
      <c r="D18" s="69" t="s">
        <v>896</v>
      </c>
    </row>
    <row r="19">
      <c r="C19" s="145"/>
      <c r="D19" s="69"/>
    </row>
    <row r="20">
      <c r="C20" s="69" t="s">
        <v>206</v>
      </c>
      <c r="D20" s="69" t="s">
        <v>897</v>
      </c>
    </row>
    <row r="21">
      <c r="C21" s="69" t="s">
        <v>206</v>
      </c>
      <c r="D21" s="69" t="s">
        <v>898</v>
      </c>
    </row>
    <row r="22">
      <c r="C22" s="69" t="s">
        <v>206</v>
      </c>
      <c r="D22" s="69" t="s">
        <v>899</v>
      </c>
    </row>
    <row r="23">
      <c r="C23" s="69" t="s">
        <v>206</v>
      </c>
      <c r="D23" s="69" t="s">
        <v>900</v>
      </c>
    </row>
    <row r="24">
      <c r="C24" s="69" t="s">
        <v>206</v>
      </c>
      <c r="D24" s="69" t="s">
        <v>623</v>
      </c>
    </row>
    <row r="25">
      <c r="D25" s="69"/>
    </row>
    <row r="26">
      <c r="C26" s="69" t="s">
        <v>15</v>
      </c>
      <c r="D26" s="69" t="s">
        <v>901</v>
      </c>
    </row>
    <row r="27">
      <c r="C27" s="69" t="s">
        <v>15</v>
      </c>
      <c r="D27" s="69" t="s">
        <v>902</v>
      </c>
    </row>
    <row r="29">
      <c r="C29" s="69" t="s">
        <v>903</v>
      </c>
      <c r="D29" s="69" t="s">
        <v>904</v>
      </c>
    </row>
    <row r="30">
      <c r="C30" s="69" t="s">
        <v>903</v>
      </c>
      <c r="D30" s="69" t="s">
        <v>905</v>
      </c>
    </row>
    <row r="32">
      <c r="D32" s="69" t="s">
        <v>906</v>
      </c>
    </row>
    <row r="33">
      <c r="D33" s="69" t="s">
        <v>907</v>
      </c>
    </row>
    <row r="35">
      <c r="D35" s="69" t="s">
        <v>908</v>
      </c>
    </row>
    <row r="37">
      <c r="D37" s="69" t="s">
        <v>909</v>
      </c>
    </row>
    <row r="41">
      <c r="D41" s="69" t="s">
        <v>910</v>
      </c>
    </row>
  </sheetData>
  <mergeCells count="1">
    <mergeCell ref="B3:I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